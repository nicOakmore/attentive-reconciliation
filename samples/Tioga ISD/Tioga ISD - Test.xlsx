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da\Desktop\Savings Report Test 9.2.26\Tioga ISD\"/>
    </mc:Choice>
  </mc:AlternateContent>
  <xr:revisionPtr revIDLastSave="0" documentId="13_ncr:1_{EDA32AE3-B367-49AD-9568-B05444D2BA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ings Report - Ascender" sheetId="1" r:id="rId1"/>
    <sheet name="Paycheck Comparison" sheetId="3" r:id="rId2"/>
    <sheet name="Census" sheetId="4" r:id="rId3"/>
  </sheets>
  <definedNames>
    <definedName name="_xlnm._FilterDatabase" localSheetId="2" hidden="1">Census!$A$1:$Z$1</definedName>
    <definedName name="_xlnm._FilterDatabase" localSheetId="1" hidden="1">'Paycheck Comparison'!$A$4:$P$44</definedName>
    <definedName name="_xlnm._FilterDatabase" localSheetId="0" hidden="1">'Savings Report - Ascender'!$A$1:$AI$41</definedName>
    <definedName name="_xlnm.Print_Area" localSheetId="1">'Paycheck Comparison'!$A$1:$M$9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2" i="1"/>
</calcChain>
</file>

<file path=xl/sharedStrings.xml><?xml version="1.0" encoding="utf-8"?>
<sst xmlns="http://schemas.openxmlformats.org/spreadsheetml/2006/main" count="865" uniqueCount="316">
  <si>
    <t>First Name</t>
  </si>
  <si>
    <t>Last Name</t>
  </si>
  <si>
    <t>Annual Salary</t>
  </si>
  <si>
    <t>Salary With Buffer</t>
  </si>
  <si>
    <t>Salary With Buffer And Premium</t>
  </si>
  <si>
    <t>Work State</t>
  </si>
  <si>
    <t>State Tax Before Premium</t>
  </si>
  <si>
    <t>State Tax After Premium State Savings</t>
  </si>
  <si>
    <t>State Savings</t>
  </si>
  <si>
    <t>Federal Tax Before Premium</t>
  </si>
  <si>
    <t>Federal Tax After Premium</t>
  </si>
  <si>
    <t>Federal Savings</t>
  </si>
  <si>
    <t>Social Security Savings</t>
  </si>
  <si>
    <t>Medicare Savings</t>
  </si>
  <si>
    <t>EE Gross Monthly Savings</t>
  </si>
  <si>
    <t>EE Monthly Fee</t>
  </si>
  <si>
    <t>Employee Monthly Allotment</t>
  </si>
  <si>
    <t>ER Gross Annual Savings</t>
  </si>
  <si>
    <t>ER Monthly Fee</t>
  </si>
  <si>
    <t>ER Annual Net Savings</t>
  </si>
  <si>
    <t>Monthly Total Fee</t>
  </si>
  <si>
    <t>Taxable Wages Difference Annual</t>
  </si>
  <si>
    <t>Taxable Income Before</t>
  </si>
  <si>
    <t>Taxable Income After</t>
  </si>
  <si>
    <t>Employee</t>
  </si>
  <si>
    <t>Family</t>
  </si>
  <si>
    <t>Wellness Program</t>
  </si>
  <si>
    <t>Client Employee ID</t>
  </si>
  <si>
    <t>Garra</t>
  </si>
  <si>
    <t>James</t>
  </si>
  <si>
    <t>Megan</t>
  </si>
  <si>
    <t>Kimberly</t>
  </si>
  <si>
    <t>Christi</t>
  </si>
  <si>
    <t>Walter</t>
  </si>
  <si>
    <t>Alazea</t>
  </si>
  <si>
    <t>Melissa</t>
  </si>
  <si>
    <t>Josefina</t>
  </si>
  <si>
    <t>Kelly</t>
  </si>
  <si>
    <t>Gretchen</t>
  </si>
  <si>
    <t>Heather</t>
  </si>
  <si>
    <t>Sondra</t>
  </si>
  <si>
    <t>Erica</t>
  </si>
  <si>
    <t>Carrie</t>
  </si>
  <si>
    <t>Haley</t>
  </si>
  <si>
    <t>Cindy</t>
  </si>
  <si>
    <t>Slayton</t>
  </si>
  <si>
    <t>Keith</t>
  </si>
  <si>
    <t>Tiffany</t>
  </si>
  <si>
    <t>Robin</t>
  </si>
  <si>
    <t>Summer</t>
  </si>
  <si>
    <t>Stormy</t>
  </si>
  <si>
    <t>Halie</t>
  </si>
  <si>
    <t>Leslie</t>
  </si>
  <si>
    <t>Jody</t>
  </si>
  <si>
    <t>Veronica</t>
  </si>
  <si>
    <t>Angelica</t>
  </si>
  <si>
    <t>Pamela</t>
  </si>
  <si>
    <t>Lisa</t>
  </si>
  <si>
    <t>Jamie</t>
  </si>
  <si>
    <t>Jessica</t>
  </si>
  <si>
    <t>Trevin</t>
  </si>
  <si>
    <t>Patricia</t>
  </si>
  <si>
    <t>Jennifer</t>
  </si>
  <si>
    <t>Ammie</t>
  </si>
  <si>
    <t>Penny</t>
  </si>
  <si>
    <t>Jeffrey</t>
  </si>
  <si>
    <t>Ballinger</t>
  </si>
  <si>
    <t>Chambers</t>
  </si>
  <si>
    <t>Clark</t>
  </si>
  <si>
    <t>Crowe</t>
  </si>
  <si>
    <t>Davis</t>
  </si>
  <si>
    <t>Douglas</t>
  </si>
  <si>
    <t>Edland Jr</t>
  </si>
  <si>
    <t>Elliott</t>
  </si>
  <si>
    <t>Escalante</t>
  </si>
  <si>
    <t>Evans</t>
  </si>
  <si>
    <t>Flint</t>
  </si>
  <si>
    <t>Garrison</t>
  </si>
  <si>
    <t>Hall</t>
  </si>
  <si>
    <t>Hanks</t>
  </si>
  <si>
    <t>Hansard</t>
  </si>
  <si>
    <t>Hertel</t>
  </si>
  <si>
    <t>Hodges</t>
  </si>
  <si>
    <t>Holland</t>
  </si>
  <si>
    <t>Kirkland</t>
  </si>
  <si>
    <t>Lester</t>
  </si>
  <si>
    <t>Leverett</t>
  </si>
  <si>
    <t>Love</t>
  </si>
  <si>
    <t>Luneau</t>
  </si>
  <si>
    <t>Martin</t>
  </si>
  <si>
    <t>Mascari</t>
  </si>
  <si>
    <t>Mayo</t>
  </si>
  <si>
    <t>Mendoza</t>
  </si>
  <si>
    <t>Miranda</t>
  </si>
  <si>
    <t>Moore</t>
  </si>
  <si>
    <t>Neal</t>
  </si>
  <si>
    <t>Perry</t>
  </si>
  <si>
    <t>Pool</t>
  </si>
  <si>
    <t>Robinson</t>
  </si>
  <si>
    <t>Saenz-De Quintana</t>
  </si>
  <si>
    <t>Sartin</t>
  </si>
  <si>
    <t>Scott</t>
  </si>
  <si>
    <t>Washington</t>
  </si>
  <si>
    <t>Wills</t>
  </si>
  <si>
    <t>79935.72</t>
  </si>
  <si>
    <t>150000.00</t>
  </si>
  <si>
    <t>51000.00</t>
  </si>
  <si>
    <t>64999.56</t>
  </si>
  <si>
    <t>73216.80</t>
  </si>
  <si>
    <t>63096.24</t>
  </si>
  <si>
    <t>60574.32</t>
  </si>
  <si>
    <t>56499.12</t>
  </si>
  <si>
    <t>60000.00</t>
  </si>
  <si>
    <t>29150.76</t>
  </si>
  <si>
    <t>62474.76</t>
  </si>
  <si>
    <t>80839.56</t>
  </si>
  <si>
    <t>42673.44</t>
  </si>
  <si>
    <t>67899.36</t>
  </si>
  <si>
    <t>69133.80</t>
  </si>
  <si>
    <t>93520.44</t>
  </si>
  <si>
    <t>63499.56</t>
  </si>
  <si>
    <t>57473.88</t>
  </si>
  <si>
    <t>62681.16</t>
  </si>
  <si>
    <t>113848.80</t>
  </si>
  <si>
    <t>30070.08</t>
  </si>
  <si>
    <t>74250.12</t>
  </si>
  <si>
    <t>71500.44</t>
  </si>
  <si>
    <t>41915.04</t>
  </si>
  <si>
    <t>62155.08</t>
  </si>
  <si>
    <t>66499.56</t>
  </si>
  <si>
    <t>65719.56</t>
  </si>
  <si>
    <t>27695.64</t>
  </si>
  <si>
    <t>34128.00</t>
  </si>
  <si>
    <t>81317.76</t>
  </si>
  <si>
    <t>70937.52</t>
  </si>
  <si>
    <t>72000.00</t>
  </si>
  <si>
    <t>76519.56</t>
  </si>
  <si>
    <t>74951.76</t>
  </si>
  <si>
    <t>31581.00</t>
  </si>
  <si>
    <t>32298.48</t>
  </si>
  <si>
    <t>67422.24</t>
  </si>
  <si>
    <t>75000.00</t>
  </si>
  <si>
    <t>70055.88</t>
  </si>
  <si>
    <t>TX</t>
  </si>
  <si>
    <t>0.00</t>
  </si>
  <si>
    <t>761.13</t>
  </si>
  <si>
    <t>1921.28</t>
  </si>
  <si>
    <t>119.60</t>
  </si>
  <si>
    <t>499.89</t>
  </si>
  <si>
    <t>537.04</t>
  </si>
  <si>
    <t>294.75</t>
  </si>
  <si>
    <t>425.06</t>
  </si>
  <si>
    <t>372.67</t>
  </si>
  <si>
    <t>133.98</t>
  </si>
  <si>
    <t>104.52</t>
  </si>
  <si>
    <t>279.68</t>
  </si>
  <si>
    <t>461.14</t>
  </si>
  <si>
    <t>214.76</t>
  </si>
  <si>
    <t>479.66</t>
  </si>
  <si>
    <t>353.53</t>
  </si>
  <si>
    <t>672.79</t>
  </si>
  <si>
    <t>108.79</t>
  </si>
  <si>
    <t>441.22</t>
  </si>
  <si>
    <t>401.70</t>
  </si>
  <si>
    <t>779.91</t>
  </si>
  <si>
    <t>108.38</t>
  </si>
  <si>
    <t>567.21</t>
  </si>
  <si>
    <t>330.12</t>
  </si>
  <si>
    <t>209.44</t>
  </si>
  <si>
    <t>300.32</t>
  </si>
  <si>
    <t>420.82</t>
  </si>
  <si>
    <t>520.34</t>
  </si>
  <si>
    <t>119.15</t>
  </si>
  <si>
    <t>160.60</t>
  </si>
  <si>
    <t>845.87</t>
  </si>
  <si>
    <t>360.75</t>
  </si>
  <si>
    <t>322.41</t>
  </si>
  <si>
    <t>429.06</t>
  </si>
  <si>
    <t>167.87</t>
  </si>
  <si>
    <t>450.82</t>
  </si>
  <si>
    <t>137.40</t>
  </si>
  <si>
    <t>112.03</t>
  </si>
  <si>
    <t>354.84</t>
  </si>
  <si>
    <t>367.84</t>
  </si>
  <si>
    <t>603.29</t>
  </si>
  <si>
    <t>503.07</t>
  </si>
  <si>
    <t>1639.76</t>
  </si>
  <si>
    <t>0.81</t>
  </si>
  <si>
    <t>326.87</t>
  </si>
  <si>
    <t>396.28</t>
  </si>
  <si>
    <t>158.88</t>
  </si>
  <si>
    <t>284.30</t>
  </si>
  <si>
    <t>231.91</t>
  </si>
  <si>
    <t>16.68</t>
  </si>
  <si>
    <t>146.32</t>
  </si>
  <si>
    <t>320.38</t>
  </si>
  <si>
    <t>92.22</t>
  </si>
  <si>
    <t>315.84</t>
  </si>
  <si>
    <t>212.77</t>
  </si>
  <si>
    <t>532.03</t>
  </si>
  <si>
    <t>294.87</t>
  </si>
  <si>
    <t>260.94</t>
  </si>
  <si>
    <t>639.15</t>
  </si>
  <si>
    <t>363.59</t>
  </si>
  <si>
    <t>189.36</t>
  </si>
  <si>
    <t>87.79</t>
  </si>
  <si>
    <t>163.52</t>
  </si>
  <si>
    <t>280.06</t>
  </si>
  <si>
    <t>338.03</t>
  </si>
  <si>
    <t>31.81</t>
  </si>
  <si>
    <t>587.81</t>
  </si>
  <si>
    <t>219.99</t>
  </si>
  <si>
    <t>181.93</t>
  </si>
  <si>
    <t>288.30</t>
  </si>
  <si>
    <t>300.11</t>
  </si>
  <si>
    <t>4.37</t>
  </si>
  <si>
    <t>214.08</t>
  </si>
  <si>
    <t>227.08</t>
  </si>
  <si>
    <t>383.27</t>
  </si>
  <si>
    <t>000157</t>
  </si>
  <si>
    <t>000151</t>
  </si>
  <si>
    <t>000563</t>
  </si>
  <si>
    <t>000083</t>
  </si>
  <si>
    <t>000107</t>
  </si>
  <si>
    <t>000555</t>
  </si>
  <si>
    <t>000487</t>
  </si>
  <si>
    <t>000581</t>
  </si>
  <si>
    <t>000244</t>
  </si>
  <si>
    <t>000328</t>
  </si>
  <si>
    <t>000352</t>
  </si>
  <si>
    <t>000257</t>
  </si>
  <si>
    <t>000261</t>
  </si>
  <si>
    <t>000268</t>
  </si>
  <si>
    <t>000269</t>
  </si>
  <si>
    <t>000152</t>
  </si>
  <si>
    <t>000455</t>
  </si>
  <si>
    <t>000158</t>
  </si>
  <si>
    <t>000483</t>
  </si>
  <si>
    <t>000420</t>
  </si>
  <si>
    <t>000507</t>
  </si>
  <si>
    <t>000329</t>
  </si>
  <si>
    <t>000384</t>
  </si>
  <si>
    <t>000055</t>
  </si>
  <si>
    <t>000452</t>
  </si>
  <si>
    <t>000526</t>
  </si>
  <si>
    <t>000456</t>
  </si>
  <si>
    <t>000576</t>
  </si>
  <si>
    <t>000458</t>
  </si>
  <si>
    <t>000294</t>
  </si>
  <si>
    <t>000386</t>
  </si>
  <si>
    <t>000374</t>
  </si>
  <si>
    <t>000148</t>
  </si>
  <si>
    <t>000414</t>
  </si>
  <si>
    <t>000556</t>
  </si>
  <si>
    <t>000551</t>
  </si>
  <si>
    <t>000202</t>
  </si>
  <si>
    <t>000138</t>
  </si>
  <si>
    <t>000558</t>
  </si>
  <si>
    <t>000514</t>
  </si>
  <si>
    <t>Actual</t>
  </si>
  <si>
    <t>Difference</t>
  </si>
  <si>
    <t>Federal W-4 Marital Status</t>
  </si>
  <si>
    <t>Is W-4 2019 or earlier or 2020?</t>
  </si>
  <si>
    <t>Federal W-4 Dependents Claimed</t>
  </si>
  <si>
    <t>W-4 2020 Is box in Step 2c checked? "Y" or "N"</t>
  </si>
  <si>
    <t>W-4 2020 Total of step 3</t>
  </si>
  <si>
    <t>S</t>
  </si>
  <si>
    <t>N</t>
  </si>
  <si>
    <t>M</t>
  </si>
  <si>
    <t>Y</t>
  </si>
  <si>
    <t>PROGRAM NAME:  Altres</t>
  </si>
  <si>
    <t>CLIENT NAME:  Tioga ISD</t>
  </si>
  <si>
    <t>FEE STRUCTURE: $1173/$114</t>
  </si>
  <si>
    <t>Deduction 
Frequency</t>
  </si>
  <si>
    <t>Premium 
(Monthly)</t>
  </si>
  <si>
    <t>Premium 
(Per Pay)</t>
  </si>
  <si>
    <t>Fee 
(Monthly)</t>
  </si>
  <si>
    <t>Fee 
(Per Pay)</t>
  </si>
  <si>
    <t>Net Pay Before</t>
  </si>
  <si>
    <t>Net Pay After</t>
  </si>
  <si>
    <t>Before/After Difference</t>
  </si>
  <si>
    <t>Notes</t>
  </si>
  <si>
    <t>Did not have  a  lot of Fed w/h on Prev $47.04</t>
  </si>
  <si>
    <t>Edland</t>
  </si>
  <si>
    <t>Did not have a lot of Fed w/h on prev $55.23</t>
  </si>
  <si>
    <t>Did not have a lot of Fed w/h on prev $63.58</t>
  </si>
  <si>
    <t>Has a set amount for Fed Tax - no room for tax savings</t>
  </si>
  <si>
    <t>Did not have a lot of Fed w/h on prev $66.17</t>
  </si>
  <si>
    <t xml:space="preserve">Stormy </t>
  </si>
  <si>
    <t>Did not have a lot of Fed w/h on prev  $76.78</t>
  </si>
  <si>
    <t>Did not have a lot of Fed w/h on prev $15.81</t>
  </si>
  <si>
    <t>Saenz De Quintana</t>
  </si>
  <si>
    <t>Did not have a lot of Fed w/h on prev $52.33</t>
  </si>
  <si>
    <t>Allotment</t>
  </si>
  <si>
    <t>Client Name</t>
  </si>
  <si>
    <t>Employee Last Name</t>
  </si>
  <si>
    <t>Employee First Name</t>
  </si>
  <si>
    <t>Employee ID</t>
  </si>
  <si>
    <t>State</t>
  </si>
  <si>
    <t>Gross Annual TAXABLE Wages</t>
  </si>
  <si>
    <t>Pay Frequency</t>
  </si>
  <si>
    <t>State Marital Withholding Status</t>
  </si>
  <si>
    <t>State Withholding Dependents</t>
  </si>
  <si>
    <t>Group Health (Employee Monthly Contribution)</t>
  </si>
  <si>
    <t>Currently Pre-tax Y-Yes N-No</t>
  </si>
  <si>
    <t>Other (Monthly Pre-Taxed Deduction $ Amounts)</t>
  </si>
  <si>
    <t>401-k/IRA Monthly Amount</t>
  </si>
  <si>
    <t>SocialSec</t>
  </si>
  <si>
    <t>Medicare</t>
  </si>
  <si>
    <t>Run as Actual Salary</t>
  </si>
  <si>
    <t>Run @ number of payperiods or Date of Hire</t>
  </si>
  <si>
    <t>Date of Hire</t>
  </si>
  <si>
    <t>Gusto Hourly Y or N</t>
  </si>
  <si>
    <t>Additional Federal</t>
  </si>
  <si>
    <t>Additional State</t>
  </si>
  <si>
    <t>Tioga ISD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</si>
</sst>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_);[Red]\(0.00\)"/>
    <numFmt numFmtId="165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0"/>
      <color rgb="FF76CCF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00416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9" fillId="0" borderId="0"/>
    <xf numFmtId="0" fontId="11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/>
    <xf numFmtId="0" fontId="3" fillId="3" borderId="0" xfId="0" applyFont="1" applyFill="1"/>
    <xf numFmtId="0" fontId="4" fillId="3" borderId="0" xfId="0" applyFont="1" applyFill="1"/>
    <xf numFmtId="44" fontId="4" fillId="3" borderId="0" xfId="1" applyFont="1" applyFill="1"/>
    <xf numFmtId="165" fontId="4" fillId="3" borderId="0" xfId="1" applyNumberFormat="1" applyFont="1" applyFill="1"/>
    <xf numFmtId="0" fontId="4" fillId="0" borderId="0" xfId="0" applyFont="1"/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44" fontId="5" fillId="3" borderId="0" xfId="1" applyFont="1" applyFill="1" applyAlignment="1">
      <alignment vertical="center" wrapText="1"/>
    </xf>
    <xf numFmtId="165" fontId="5" fillId="3" borderId="0" xfId="1" applyNumberFormat="1" applyFont="1" applyFill="1" applyAlignment="1">
      <alignment vertical="center" wrapText="1"/>
    </xf>
    <xf numFmtId="0" fontId="0" fillId="0" borderId="1" xfId="0" applyBorder="1"/>
    <xf numFmtId="44" fontId="4" fillId="0" borderId="0" xfId="1" applyFont="1"/>
    <xf numFmtId="8" fontId="4" fillId="0" borderId="0" xfId="0" applyNumberFormat="1" applyFont="1" applyAlignment="1">
      <alignment wrapText="1"/>
    </xf>
    <xf numFmtId="0" fontId="0" fillId="5" borderId="1" xfId="0" applyFill="1" applyBorder="1"/>
    <xf numFmtId="165" fontId="4" fillId="0" borderId="0" xfId="1" applyNumberFormat="1" applyFont="1"/>
    <xf numFmtId="0" fontId="6" fillId="4" borderId="1" xfId="0" applyFont="1" applyFill="1" applyBorder="1" applyAlignment="1" applyProtection="1">
      <alignment vertical="center" wrapText="1" readingOrder="1"/>
      <protection locked="0"/>
    </xf>
    <xf numFmtId="0" fontId="6" fillId="4" borderId="1" xfId="0" applyFont="1" applyFill="1" applyBorder="1" applyAlignment="1" applyProtection="1">
      <alignment horizontal="center" vertical="center" wrapText="1" readingOrder="1"/>
      <protection locked="0"/>
    </xf>
    <xf numFmtId="44" fontId="6" fillId="4" borderId="1" xfId="1" applyFont="1" applyFill="1" applyBorder="1" applyAlignment="1" applyProtection="1">
      <alignment horizontal="center" vertical="center" wrapText="1" readingOrder="1"/>
      <protection locked="0"/>
    </xf>
    <xf numFmtId="165" fontId="6" fillId="4" borderId="1" xfId="1" applyNumberFormat="1" applyFont="1" applyFill="1" applyBorder="1" applyAlignment="1" applyProtection="1">
      <alignment horizontal="center" vertical="center" wrapText="1" readingOrder="1"/>
      <protection locked="0"/>
    </xf>
    <xf numFmtId="165" fontId="10" fillId="2" borderId="1" xfId="1" applyNumberFormat="1" applyFont="1" applyFill="1" applyBorder="1" applyAlignment="1" applyProtection="1">
      <alignment horizontal="center" vertical="center" wrapText="1" readingOrder="1"/>
      <protection locked="0"/>
    </xf>
    <xf numFmtId="0" fontId="4" fillId="0" borderId="1" xfId="0" applyFont="1" applyBorder="1"/>
    <xf numFmtId="165" fontId="4" fillId="0" borderId="1" xfId="0" applyNumberFormat="1" applyFont="1" applyBorder="1"/>
    <xf numFmtId="44" fontId="4" fillId="0" borderId="1" xfId="1" applyFont="1" applyBorder="1"/>
    <xf numFmtId="165" fontId="7" fillId="0" borderId="1" xfId="1" applyNumberFormat="1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wrapText="1"/>
    </xf>
    <xf numFmtId="44" fontId="7" fillId="0" borderId="1" xfId="1" applyFont="1" applyBorder="1"/>
    <xf numFmtId="0" fontId="8" fillId="0" borderId="1" xfId="0" applyFont="1" applyBorder="1"/>
    <xf numFmtId="40" fontId="7" fillId="0" borderId="1" xfId="1" applyNumberFormat="1" applyFont="1" applyBorder="1" applyAlignment="1">
      <alignment wrapText="1"/>
    </xf>
    <xf numFmtId="0" fontId="12" fillId="0" borderId="0" xfId="3" applyFont="1" applyAlignment="1">
      <alignment wrapText="1"/>
    </xf>
    <xf numFmtId="0" fontId="13" fillId="0" borderId="0" xfId="3" applyFont="1" applyAlignment="1">
      <alignment wrapText="1"/>
    </xf>
    <xf numFmtId="49" fontId="13" fillId="0" borderId="0" xfId="3" applyNumberFormat="1" applyFont="1" applyAlignment="1">
      <alignment wrapText="1"/>
    </xf>
    <xf numFmtId="0" fontId="1" fillId="0" borderId="0" xfId="3" applyFont="1" applyAlignment="1">
      <alignment wrapText="1"/>
    </xf>
    <xf numFmtId="0" fontId="11" fillId="0" borderId="0" xfId="3" applyAlignment="1">
      <alignment wrapText="1"/>
    </xf>
    <xf numFmtId="0" fontId="11" fillId="0" borderId="0" xfId="3"/>
    <xf numFmtId="49" fontId="11" fillId="0" borderId="0" xfId="3" applyNumberFormat="1"/>
    <xf numFmtId="40" fontId="8" fillId="0" borderId="1" xfId="1" applyNumberFormat="1" applyFont="1" applyBorder="1" applyAlignment="1">
      <alignment wrapText="1"/>
    </xf>
  </cellXfs>
  <cellStyles count="4">
    <cellStyle name="Currency" xfId="1" builtinId="4"/>
    <cellStyle name="Normal" xfId="0" builtinId="0"/>
    <cellStyle name="Normal 2" xfId="2" xr:uid="{CA130123-823C-4DEC-9FA9-50943DF0A000}"/>
    <cellStyle name="Normal 3" xfId="3" xr:uid="{DB7C4543-86DB-45E9-803A-58135ECEED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"/>
  <sheetViews>
    <sheetView tabSelected="1" workbookViewId="0">
      <selection activeCell="AF21" sqref="AF21"/>
    </sheetView>
  </sheetViews>
  <sheetFormatPr defaultRowHeight="15" x14ac:dyDescent="0.25"/>
  <cols>
    <col min="12" max="12" width="10.7109375" customWidth="1"/>
    <col min="19" max="19" width="10.140625" customWidth="1"/>
  </cols>
  <sheetData>
    <row r="1" spans="1:35" s="2" customFormat="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259</v>
      </c>
      <c r="L1" s="3" t="s">
        <v>260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3" t="s">
        <v>261</v>
      </c>
      <c r="AF1" s="3" t="s">
        <v>262</v>
      </c>
      <c r="AG1" s="3" t="s">
        <v>263</v>
      </c>
      <c r="AH1" s="3" t="s">
        <v>264</v>
      </c>
      <c r="AI1" s="3" t="s">
        <v>265</v>
      </c>
    </row>
    <row r="2" spans="1:35" x14ac:dyDescent="0.25">
      <c r="A2" t="s">
        <v>28</v>
      </c>
      <c r="B2" t="s">
        <v>66</v>
      </c>
      <c r="C2" t="s">
        <v>104</v>
      </c>
      <c r="D2">
        <v>79935.72</v>
      </c>
      <c r="E2">
        <v>65859.72</v>
      </c>
      <c r="F2" t="s">
        <v>143</v>
      </c>
      <c r="G2" t="s">
        <v>144</v>
      </c>
      <c r="H2" t="s">
        <v>144</v>
      </c>
      <c r="I2">
        <v>0</v>
      </c>
      <c r="J2" t="s">
        <v>145</v>
      </c>
      <c r="K2">
        <v>549.35</v>
      </c>
      <c r="L2" s="4">
        <f>K2-J2</f>
        <v>-211.77999999999997</v>
      </c>
      <c r="M2" t="s">
        <v>185</v>
      </c>
      <c r="N2">
        <v>258.06</v>
      </c>
      <c r="O2">
        <v>0</v>
      </c>
      <c r="P2">
        <v>17.010000000000002</v>
      </c>
      <c r="Q2">
        <v>275.07</v>
      </c>
      <c r="R2">
        <v>114</v>
      </c>
      <c r="S2">
        <v>161.07</v>
      </c>
      <c r="T2">
        <v>204</v>
      </c>
      <c r="U2">
        <v>15</v>
      </c>
      <c r="V2">
        <v>24</v>
      </c>
      <c r="W2">
        <v>129</v>
      </c>
      <c r="X2">
        <v>14076</v>
      </c>
      <c r="Y2">
        <v>6391.31</v>
      </c>
      <c r="Z2">
        <v>5218.3100000000004</v>
      </c>
      <c r="AA2">
        <v>1173</v>
      </c>
      <c r="AB2">
        <v>0</v>
      </c>
      <c r="AC2">
        <v>1173</v>
      </c>
      <c r="AD2" t="s">
        <v>219</v>
      </c>
      <c r="AE2" t="s">
        <v>266</v>
      </c>
      <c r="AF2">
        <v>2020</v>
      </c>
      <c r="AH2" t="s">
        <v>267</v>
      </c>
    </row>
    <row r="3" spans="1:35" x14ac:dyDescent="0.25">
      <c r="A3" t="s">
        <v>29</v>
      </c>
      <c r="B3" t="s">
        <v>66</v>
      </c>
      <c r="C3" t="s">
        <v>105</v>
      </c>
      <c r="D3">
        <v>150000</v>
      </c>
      <c r="E3">
        <v>135924</v>
      </c>
      <c r="F3" t="s">
        <v>143</v>
      </c>
      <c r="G3" t="s">
        <v>144</v>
      </c>
      <c r="H3" t="s">
        <v>144</v>
      </c>
      <c r="I3">
        <v>0</v>
      </c>
      <c r="J3" t="s">
        <v>146</v>
      </c>
      <c r="K3">
        <v>1490.55</v>
      </c>
      <c r="L3" s="4">
        <f t="shared" ref="L3:L41" si="0">K3-J3</f>
        <v>-430.73</v>
      </c>
      <c r="M3" t="s">
        <v>186</v>
      </c>
      <c r="N3">
        <v>281.52</v>
      </c>
      <c r="O3">
        <v>0</v>
      </c>
      <c r="P3">
        <v>17.010000000000002</v>
      </c>
      <c r="Q3">
        <v>298.52999999999997</v>
      </c>
      <c r="R3">
        <v>114</v>
      </c>
      <c r="S3">
        <v>184.53</v>
      </c>
      <c r="T3">
        <v>204.12</v>
      </c>
      <c r="U3">
        <v>15</v>
      </c>
      <c r="V3">
        <v>24.12</v>
      </c>
      <c r="W3">
        <v>129</v>
      </c>
      <c r="X3">
        <v>14076</v>
      </c>
      <c r="Y3">
        <v>11451.17</v>
      </c>
      <c r="Z3">
        <v>10278.17</v>
      </c>
      <c r="AA3">
        <v>1173</v>
      </c>
      <c r="AB3">
        <v>0</v>
      </c>
      <c r="AC3">
        <v>1173</v>
      </c>
      <c r="AD3" t="s">
        <v>220</v>
      </c>
      <c r="AE3" t="s">
        <v>266</v>
      </c>
      <c r="AF3">
        <v>2020</v>
      </c>
      <c r="AH3" t="s">
        <v>267</v>
      </c>
    </row>
    <row r="4" spans="1:35" x14ac:dyDescent="0.25">
      <c r="A4" t="s">
        <v>30</v>
      </c>
      <c r="B4" t="s">
        <v>67</v>
      </c>
      <c r="C4" t="s">
        <v>106</v>
      </c>
      <c r="D4">
        <v>51000</v>
      </c>
      <c r="E4">
        <v>36924</v>
      </c>
      <c r="F4" t="s">
        <v>143</v>
      </c>
      <c r="G4" t="s">
        <v>144</v>
      </c>
      <c r="H4" t="s">
        <v>144</v>
      </c>
      <c r="I4">
        <v>0</v>
      </c>
      <c r="J4" t="s">
        <v>147</v>
      </c>
      <c r="K4">
        <v>47.04</v>
      </c>
      <c r="L4" s="4">
        <f t="shared" si="0"/>
        <v>-72.56</v>
      </c>
      <c r="M4" t="s">
        <v>187</v>
      </c>
      <c r="N4">
        <v>118.8</v>
      </c>
      <c r="O4">
        <v>0</v>
      </c>
      <c r="P4">
        <v>17.010000000000002</v>
      </c>
      <c r="Q4">
        <v>135.81</v>
      </c>
      <c r="R4">
        <v>114</v>
      </c>
      <c r="S4">
        <v>21.81</v>
      </c>
      <c r="T4">
        <v>204.12</v>
      </c>
      <c r="U4">
        <v>15</v>
      </c>
      <c r="V4">
        <v>24.12</v>
      </c>
      <c r="W4">
        <v>129</v>
      </c>
      <c r="X4">
        <v>14076</v>
      </c>
      <c r="Y4">
        <v>3504.36</v>
      </c>
      <c r="Z4">
        <v>2331.36</v>
      </c>
      <c r="AA4">
        <v>1173</v>
      </c>
      <c r="AB4">
        <v>0</v>
      </c>
      <c r="AC4">
        <v>1173</v>
      </c>
      <c r="AD4" t="s">
        <v>221</v>
      </c>
      <c r="AE4" t="s">
        <v>268</v>
      </c>
      <c r="AF4">
        <v>2020</v>
      </c>
      <c r="AH4" t="s">
        <v>267</v>
      </c>
    </row>
    <row r="5" spans="1:35" x14ac:dyDescent="0.25">
      <c r="A5" t="s">
        <v>31</v>
      </c>
      <c r="B5" t="s">
        <v>68</v>
      </c>
      <c r="C5" t="s">
        <v>107</v>
      </c>
      <c r="D5">
        <v>64999.56</v>
      </c>
      <c r="E5">
        <v>50923.56</v>
      </c>
      <c r="F5" t="s">
        <v>143</v>
      </c>
      <c r="G5" t="s">
        <v>144</v>
      </c>
      <c r="H5" t="s">
        <v>144</v>
      </c>
      <c r="I5">
        <v>0</v>
      </c>
      <c r="J5" t="s">
        <v>148</v>
      </c>
      <c r="K5">
        <v>389.17</v>
      </c>
      <c r="L5" s="4">
        <f t="shared" si="0"/>
        <v>-110.71999999999997</v>
      </c>
      <c r="M5" t="s">
        <v>188</v>
      </c>
      <c r="N5">
        <v>173.02</v>
      </c>
      <c r="O5">
        <v>0</v>
      </c>
      <c r="P5">
        <v>17.010000000000002</v>
      </c>
      <c r="Q5">
        <v>190.03</v>
      </c>
      <c r="R5">
        <v>114</v>
      </c>
      <c r="S5">
        <v>76.03</v>
      </c>
      <c r="T5">
        <v>204.12</v>
      </c>
      <c r="U5">
        <v>15</v>
      </c>
      <c r="V5">
        <v>24.12</v>
      </c>
      <c r="W5">
        <v>129</v>
      </c>
      <c r="X5">
        <v>14076</v>
      </c>
      <c r="Y5">
        <v>5203.87</v>
      </c>
      <c r="Z5">
        <v>4030.87</v>
      </c>
      <c r="AA5">
        <v>1173</v>
      </c>
      <c r="AB5">
        <v>0</v>
      </c>
      <c r="AC5">
        <v>1173</v>
      </c>
      <c r="AD5" t="s">
        <v>222</v>
      </c>
      <c r="AE5" t="s">
        <v>266</v>
      </c>
      <c r="AF5">
        <v>2020</v>
      </c>
      <c r="AH5" t="s">
        <v>267</v>
      </c>
    </row>
    <row r="6" spans="1:35" x14ac:dyDescent="0.25">
      <c r="A6" t="s">
        <v>32</v>
      </c>
      <c r="B6" t="s">
        <v>69</v>
      </c>
      <c r="C6" t="s">
        <v>108</v>
      </c>
      <c r="D6">
        <v>73216.800000000003</v>
      </c>
      <c r="E6">
        <v>59140.800000000003</v>
      </c>
      <c r="F6" t="s">
        <v>143</v>
      </c>
      <c r="G6" t="s">
        <v>144</v>
      </c>
      <c r="H6" t="s">
        <v>144</v>
      </c>
      <c r="I6">
        <v>0</v>
      </c>
      <c r="J6" t="s">
        <v>149</v>
      </c>
      <c r="K6">
        <v>366.97</v>
      </c>
      <c r="L6" s="4">
        <f t="shared" si="0"/>
        <v>-170.06999999999994</v>
      </c>
      <c r="M6" t="s">
        <v>189</v>
      </c>
      <c r="N6">
        <v>140.76</v>
      </c>
      <c r="O6">
        <v>0</v>
      </c>
      <c r="P6">
        <v>17.010000000000002</v>
      </c>
      <c r="Q6">
        <v>157.77000000000001</v>
      </c>
      <c r="R6">
        <v>114</v>
      </c>
      <c r="S6">
        <v>43.77</v>
      </c>
      <c r="T6">
        <v>204.12</v>
      </c>
      <c r="U6">
        <v>15</v>
      </c>
      <c r="V6">
        <v>24.12</v>
      </c>
      <c r="W6">
        <v>129</v>
      </c>
      <c r="X6">
        <v>14076</v>
      </c>
      <c r="Y6">
        <v>6014.19</v>
      </c>
      <c r="Z6">
        <v>4841.1899999999996</v>
      </c>
      <c r="AA6">
        <v>1173</v>
      </c>
      <c r="AB6">
        <v>0</v>
      </c>
      <c r="AC6">
        <v>1173</v>
      </c>
      <c r="AD6" t="s">
        <v>223</v>
      </c>
      <c r="AE6" t="s">
        <v>268</v>
      </c>
      <c r="AF6">
        <v>2019</v>
      </c>
    </row>
    <row r="7" spans="1:35" x14ac:dyDescent="0.25">
      <c r="A7" t="s">
        <v>33</v>
      </c>
      <c r="B7" t="s">
        <v>70</v>
      </c>
      <c r="C7" t="s">
        <v>109</v>
      </c>
      <c r="D7">
        <v>63096.24</v>
      </c>
      <c r="E7">
        <v>49020.24</v>
      </c>
      <c r="F7" t="s">
        <v>143</v>
      </c>
      <c r="G7" t="s">
        <v>144</v>
      </c>
      <c r="H7" t="s">
        <v>144</v>
      </c>
      <c r="I7">
        <v>0</v>
      </c>
      <c r="J7" t="s">
        <v>150</v>
      </c>
      <c r="K7">
        <v>195.3</v>
      </c>
      <c r="L7" s="4">
        <f t="shared" si="0"/>
        <v>-99.449999999999989</v>
      </c>
      <c r="M7" t="s">
        <v>190</v>
      </c>
      <c r="N7">
        <v>135.87</v>
      </c>
      <c r="O7">
        <v>0</v>
      </c>
      <c r="P7">
        <v>17.010000000000002</v>
      </c>
      <c r="Q7">
        <v>152.88</v>
      </c>
      <c r="R7">
        <v>114</v>
      </c>
      <c r="S7">
        <v>38.880000000000003</v>
      </c>
      <c r="T7">
        <v>204.12</v>
      </c>
      <c r="U7">
        <v>15</v>
      </c>
      <c r="V7">
        <v>24.12</v>
      </c>
      <c r="W7">
        <v>129</v>
      </c>
      <c r="X7">
        <v>14076</v>
      </c>
      <c r="Y7">
        <v>5070.1000000000004</v>
      </c>
      <c r="Z7">
        <v>3897.1</v>
      </c>
      <c r="AA7">
        <v>1173</v>
      </c>
      <c r="AB7">
        <v>0</v>
      </c>
      <c r="AC7">
        <v>1173</v>
      </c>
      <c r="AD7" t="s">
        <v>224</v>
      </c>
      <c r="AE7" t="s">
        <v>268</v>
      </c>
      <c r="AF7">
        <v>2020</v>
      </c>
      <c r="AH7" t="s">
        <v>267</v>
      </c>
    </row>
    <row r="8" spans="1:35" x14ac:dyDescent="0.25">
      <c r="A8" t="s">
        <v>34</v>
      </c>
      <c r="B8" t="s">
        <v>71</v>
      </c>
      <c r="C8" t="s">
        <v>110</v>
      </c>
      <c r="D8">
        <v>60574.32</v>
      </c>
      <c r="E8">
        <v>46498.32</v>
      </c>
      <c r="F8" t="s">
        <v>143</v>
      </c>
      <c r="G8" t="s">
        <v>144</v>
      </c>
      <c r="H8" t="s">
        <v>144</v>
      </c>
      <c r="I8">
        <v>0</v>
      </c>
      <c r="J8" t="s">
        <v>151</v>
      </c>
      <c r="K8">
        <v>350.25</v>
      </c>
      <c r="L8" s="4">
        <f t="shared" si="0"/>
        <v>-74.81</v>
      </c>
      <c r="M8" t="s">
        <v>191</v>
      </c>
      <c r="N8">
        <v>140.76</v>
      </c>
      <c r="O8">
        <v>0</v>
      </c>
      <c r="P8">
        <v>17.010000000000002</v>
      </c>
      <c r="Q8">
        <v>157.77000000000001</v>
      </c>
      <c r="R8">
        <v>114</v>
      </c>
      <c r="S8">
        <v>43.77</v>
      </c>
      <c r="T8">
        <v>204.12</v>
      </c>
      <c r="U8">
        <v>15</v>
      </c>
      <c r="V8">
        <v>24.12</v>
      </c>
      <c r="W8">
        <v>129</v>
      </c>
      <c r="X8">
        <v>14076</v>
      </c>
      <c r="Y8">
        <v>4849.1000000000004</v>
      </c>
      <c r="Z8">
        <v>3676.1</v>
      </c>
      <c r="AA8">
        <v>1173</v>
      </c>
      <c r="AB8">
        <v>0</v>
      </c>
      <c r="AC8">
        <v>1173</v>
      </c>
      <c r="AD8" t="s">
        <v>225</v>
      </c>
      <c r="AE8" t="s">
        <v>266</v>
      </c>
      <c r="AF8">
        <v>2020</v>
      </c>
      <c r="AH8" t="s">
        <v>267</v>
      </c>
    </row>
    <row r="9" spans="1:35" x14ac:dyDescent="0.25">
      <c r="A9" t="s">
        <v>29</v>
      </c>
      <c r="B9" t="s">
        <v>72</v>
      </c>
      <c r="C9" t="s">
        <v>111</v>
      </c>
      <c r="D9">
        <v>56499.12</v>
      </c>
      <c r="E9">
        <v>42423.12</v>
      </c>
      <c r="F9" t="s">
        <v>143</v>
      </c>
      <c r="G9" t="s">
        <v>144</v>
      </c>
      <c r="H9" t="s">
        <v>144</v>
      </c>
      <c r="I9">
        <v>0</v>
      </c>
      <c r="J9" t="s">
        <v>152</v>
      </c>
      <c r="K9">
        <v>591.47</v>
      </c>
      <c r="L9" s="4">
        <f t="shared" si="0"/>
        <v>218.8</v>
      </c>
      <c r="M9" t="s">
        <v>192</v>
      </c>
      <c r="N9">
        <v>140.76</v>
      </c>
      <c r="O9">
        <v>0</v>
      </c>
      <c r="P9">
        <v>17.010000000000002</v>
      </c>
      <c r="Q9">
        <v>157.77000000000001</v>
      </c>
      <c r="R9">
        <v>114</v>
      </c>
      <c r="S9">
        <v>43.77</v>
      </c>
      <c r="T9">
        <v>204.12</v>
      </c>
      <c r="U9">
        <v>15</v>
      </c>
      <c r="V9">
        <v>24.12</v>
      </c>
      <c r="W9">
        <v>129</v>
      </c>
      <c r="X9">
        <v>14076</v>
      </c>
      <c r="Y9">
        <v>4412.5</v>
      </c>
      <c r="Z9">
        <v>3239.5</v>
      </c>
      <c r="AA9">
        <v>1173</v>
      </c>
      <c r="AB9">
        <v>0</v>
      </c>
      <c r="AC9">
        <v>1173</v>
      </c>
      <c r="AD9" t="s">
        <v>226</v>
      </c>
      <c r="AE9" t="s">
        <v>266</v>
      </c>
      <c r="AF9">
        <v>2020</v>
      </c>
      <c r="AH9" t="s">
        <v>267</v>
      </c>
    </row>
    <row r="10" spans="1:35" x14ac:dyDescent="0.25">
      <c r="A10" t="s">
        <v>35</v>
      </c>
      <c r="B10" t="s">
        <v>73</v>
      </c>
      <c r="C10" t="s">
        <v>112</v>
      </c>
      <c r="D10">
        <v>60000</v>
      </c>
      <c r="E10">
        <v>45924</v>
      </c>
      <c r="F10" t="s">
        <v>143</v>
      </c>
      <c r="G10" t="s">
        <v>144</v>
      </c>
      <c r="H10" t="s">
        <v>144</v>
      </c>
      <c r="I10">
        <v>0</v>
      </c>
      <c r="J10" t="s">
        <v>153</v>
      </c>
      <c r="K10">
        <v>55.23</v>
      </c>
      <c r="L10" s="4">
        <f t="shared" si="0"/>
        <v>-78.75</v>
      </c>
      <c r="M10" t="s">
        <v>193</v>
      </c>
      <c r="N10">
        <v>117.3</v>
      </c>
      <c r="O10">
        <v>0</v>
      </c>
      <c r="P10">
        <v>17.010000000000002</v>
      </c>
      <c r="Q10">
        <v>134.31</v>
      </c>
      <c r="R10">
        <v>114</v>
      </c>
      <c r="S10">
        <v>20.309999999999999</v>
      </c>
      <c r="T10">
        <v>204.12</v>
      </c>
      <c r="U10">
        <v>15</v>
      </c>
      <c r="V10">
        <v>24.12</v>
      </c>
      <c r="W10">
        <v>129</v>
      </c>
      <c r="X10">
        <v>14076</v>
      </c>
      <c r="Y10">
        <v>4364.76</v>
      </c>
      <c r="Z10">
        <v>3191.76</v>
      </c>
      <c r="AA10">
        <v>1173</v>
      </c>
      <c r="AB10">
        <v>0</v>
      </c>
      <c r="AC10">
        <v>1173</v>
      </c>
      <c r="AD10" t="s">
        <v>227</v>
      </c>
      <c r="AE10" t="s">
        <v>268</v>
      </c>
      <c r="AF10">
        <v>2019</v>
      </c>
      <c r="AG10">
        <v>5</v>
      </c>
    </row>
    <row r="11" spans="1:35" x14ac:dyDescent="0.25">
      <c r="A11" t="s">
        <v>36</v>
      </c>
      <c r="B11" t="s">
        <v>74</v>
      </c>
      <c r="C11" t="s">
        <v>113</v>
      </c>
      <c r="D11">
        <v>29150.76</v>
      </c>
      <c r="E11">
        <v>15074.76</v>
      </c>
      <c r="F11" t="s">
        <v>143</v>
      </c>
      <c r="G11" t="s">
        <v>144</v>
      </c>
      <c r="H11" t="s">
        <v>144</v>
      </c>
      <c r="I11">
        <v>0</v>
      </c>
      <c r="J11" t="s">
        <v>154</v>
      </c>
      <c r="K11">
        <v>63.58</v>
      </c>
      <c r="L11" s="4">
        <f t="shared" si="0"/>
        <v>-40.94</v>
      </c>
      <c r="M11" t="s">
        <v>144</v>
      </c>
      <c r="N11">
        <v>104.52</v>
      </c>
      <c r="O11">
        <v>0</v>
      </c>
      <c r="P11">
        <v>17.010000000000002</v>
      </c>
      <c r="Q11">
        <v>121.53</v>
      </c>
      <c r="R11">
        <v>114</v>
      </c>
      <c r="S11">
        <v>7.53</v>
      </c>
      <c r="T11">
        <v>204.12</v>
      </c>
      <c r="U11">
        <v>15</v>
      </c>
      <c r="V11">
        <v>24.12</v>
      </c>
      <c r="W11">
        <v>129</v>
      </c>
      <c r="X11">
        <v>14076</v>
      </c>
      <c r="Y11">
        <v>2177.91</v>
      </c>
      <c r="Z11">
        <v>1004.91</v>
      </c>
      <c r="AA11">
        <v>1173</v>
      </c>
      <c r="AB11">
        <v>0</v>
      </c>
      <c r="AC11">
        <v>1173</v>
      </c>
      <c r="AD11" t="s">
        <v>228</v>
      </c>
      <c r="AE11" t="s">
        <v>266</v>
      </c>
      <c r="AF11">
        <v>2020</v>
      </c>
      <c r="AH11" t="s">
        <v>267</v>
      </c>
    </row>
    <row r="12" spans="1:35" x14ac:dyDescent="0.25">
      <c r="A12" t="s">
        <v>37</v>
      </c>
      <c r="B12" t="s">
        <v>75</v>
      </c>
      <c r="C12" t="s">
        <v>114</v>
      </c>
      <c r="D12">
        <v>62474.76</v>
      </c>
      <c r="E12">
        <v>48398.76</v>
      </c>
      <c r="F12" t="s">
        <v>143</v>
      </c>
      <c r="G12" t="s">
        <v>144</v>
      </c>
      <c r="H12" t="s">
        <v>144</v>
      </c>
      <c r="I12">
        <v>0</v>
      </c>
      <c r="J12" t="s">
        <v>155</v>
      </c>
      <c r="K12">
        <v>368.17</v>
      </c>
      <c r="L12" s="4">
        <f t="shared" si="0"/>
        <v>88.490000000000009</v>
      </c>
      <c r="M12" t="s">
        <v>194</v>
      </c>
      <c r="N12">
        <v>133.36000000000001</v>
      </c>
      <c r="O12">
        <v>0</v>
      </c>
      <c r="P12">
        <v>17.010000000000002</v>
      </c>
      <c r="Q12">
        <v>150.37</v>
      </c>
      <c r="R12">
        <v>114</v>
      </c>
      <c r="S12">
        <v>36.369999999999997</v>
      </c>
      <c r="T12">
        <v>204.12</v>
      </c>
      <c r="U12">
        <v>15</v>
      </c>
      <c r="V12">
        <v>24.12</v>
      </c>
      <c r="W12">
        <v>129</v>
      </c>
      <c r="X12">
        <v>14076</v>
      </c>
      <c r="Y12">
        <v>4944.55</v>
      </c>
      <c r="Z12">
        <v>3771.55</v>
      </c>
      <c r="AA12">
        <v>1173</v>
      </c>
      <c r="AB12">
        <v>0</v>
      </c>
      <c r="AC12">
        <v>1173</v>
      </c>
      <c r="AD12" t="s">
        <v>229</v>
      </c>
      <c r="AE12" t="s">
        <v>268</v>
      </c>
      <c r="AF12">
        <v>2020</v>
      </c>
      <c r="AH12" t="s">
        <v>267</v>
      </c>
    </row>
    <row r="13" spans="1:35" x14ac:dyDescent="0.25">
      <c r="A13" t="s">
        <v>38</v>
      </c>
      <c r="B13" t="s">
        <v>76</v>
      </c>
      <c r="C13" t="s">
        <v>115</v>
      </c>
      <c r="D13">
        <v>80839.56</v>
      </c>
      <c r="E13">
        <v>66763.56</v>
      </c>
      <c r="F13" t="s">
        <v>143</v>
      </c>
      <c r="G13" t="s">
        <v>144</v>
      </c>
      <c r="H13" t="s">
        <v>144</v>
      </c>
      <c r="I13">
        <v>0</v>
      </c>
      <c r="J13" t="s">
        <v>156</v>
      </c>
      <c r="K13">
        <v>318.98</v>
      </c>
      <c r="L13" s="4">
        <f t="shared" si="0"/>
        <v>-142.15999999999997</v>
      </c>
      <c r="M13" t="s">
        <v>195</v>
      </c>
      <c r="N13">
        <v>140.76</v>
      </c>
      <c r="O13">
        <v>0</v>
      </c>
      <c r="P13">
        <v>17.010000000000002</v>
      </c>
      <c r="Q13">
        <v>157.77000000000001</v>
      </c>
      <c r="R13">
        <v>114</v>
      </c>
      <c r="S13">
        <v>43.77</v>
      </c>
      <c r="T13">
        <v>204.12</v>
      </c>
      <c r="U13">
        <v>15</v>
      </c>
      <c r="V13">
        <v>24.12</v>
      </c>
      <c r="W13">
        <v>129</v>
      </c>
      <c r="X13">
        <v>14076</v>
      </c>
      <c r="Y13">
        <v>6456.72</v>
      </c>
      <c r="Z13">
        <v>5283.72</v>
      </c>
      <c r="AA13">
        <v>1173</v>
      </c>
      <c r="AB13">
        <v>0</v>
      </c>
      <c r="AC13">
        <v>1173</v>
      </c>
      <c r="AD13" t="s">
        <v>230</v>
      </c>
      <c r="AE13" t="s">
        <v>268</v>
      </c>
      <c r="AF13">
        <v>2019</v>
      </c>
      <c r="AG13">
        <v>3</v>
      </c>
    </row>
    <row r="14" spans="1:35" x14ac:dyDescent="0.25">
      <c r="A14" t="s">
        <v>39</v>
      </c>
      <c r="B14" t="s">
        <v>77</v>
      </c>
      <c r="C14" t="s">
        <v>116</v>
      </c>
      <c r="D14">
        <v>42673.440000000002</v>
      </c>
      <c r="E14">
        <v>28597.439999999999</v>
      </c>
      <c r="F14" t="s">
        <v>143</v>
      </c>
      <c r="G14" t="s">
        <v>144</v>
      </c>
      <c r="H14" t="s">
        <v>144</v>
      </c>
      <c r="I14">
        <v>0</v>
      </c>
      <c r="J14" t="s">
        <v>157</v>
      </c>
      <c r="K14">
        <v>142.69</v>
      </c>
      <c r="L14" s="4">
        <f t="shared" si="0"/>
        <v>-72.069999999999993</v>
      </c>
      <c r="M14" t="s">
        <v>196</v>
      </c>
      <c r="N14">
        <v>122.54</v>
      </c>
      <c r="O14">
        <v>0</v>
      </c>
      <c r="P14">
        <v>17.010000000000002</v>
      </c>
      <c r="Q14">
        <v>139.55000000000001</v>
      </c>
      <c r="R14">
        <v>114</v>
      </c>
      <c r="S14">
        <v>25.55</v>
      </c>
      <c r="T14">
        <v>204</v>
      </c>
      <c r="U14">
        <v>15</v>
      </c>
      <c r="V14">
        <v>24</v>
      </c>
      <c r="W14">
        <v>129</v>
      </c>
      <c r="X14">
        <v>14076</v>
      </c>
      <c r="Y14">
        <v>3328.56</v>
      </c>
      <c r="Z14">
        <v>2155.56</v>
      </c>
      <c r="AA14">
        <v>1173</v>
      </c>
      <c r="AB14">
        <v>0</v>
      </c>
      <c r="AC14">
        <v>1173</v>
      </c>
      <c r="AD14" t="s">
        <v>231</v>
      </c>
      <c r="AE14" t="s">
        <v>268</v>
      </c>
      <c r="AF14">
        <v>2019</v>
      </c>
    </row>
    <row r="15" spans="1:35" x14ac:dyDescent="0.25">
      <c r="A15" t="s">
        <v>40</v>
      </c>
      <c r="B15" t="s">
        <v>78</v>
      </c>
      <c r="C15" t="s">
        <v>117</v>
      </c>
      <c r="D15">
        <v>67899.360000000001</v>
      </c>
      <c r="E15">
        <v>53823.360000000001</v>
      </c>
      <c r="F15" t="s">
        <v>143</v>
      </c>
      <c r="G15" t="s">
        <v>144</v>
      </c>
      <c r="H15" t="s">
        <v>144</v>
      </c>
      <c r="I15">
        <v>0</v>
      </c>
      <c r="J15" t="s">
        <v>158</v>
      </c>
      <c r="K15">
        <v>725.75</v>
      </c>
      <c r="L15" s="4">
        <f t="shared" si="0"/>
        <v>246.08999999999997</v>
      </c>
      <c r="M15" t="s">
        <v>197</v>
      </c>
      <c r="N15">
        <v>163.83000000000001</v>
      </c>
      <c r="O15">
        <v>0</v>
      </c>
      <c r="P15">
        <v>17.010000000000002</v>
      </c>
      <c r="Q15">
        <v>180.84</v>
      </c>
      <c r="R15">
        <v>114</v>
      </c>
      <c r="S15">
        <v>66.84</v>
      </c>
      <c r="T15">
        <v>204.12</v>
      </c>
      <c r="U15">
        <v>15</v>
      </c>
      <c r="V15">
        <v>24.12</v>
      </c>
      <c r="W15">
        <v>129</v>
      </c>
      <c r="X15">
        <v>14076</v>
      </c>
      <c r="Y15">
        <v>5111.92</v>
      </c>
      <c r="Z15">
        <v>3938.92</v>
      </c>
      <c r="AA15">
        <v>1173</v>
      </c>
      <c r="AB15">
        <v>0</v>
      </c>
      <c r="AC15">
        <v>1173</v>
      </c>
      <c r="AD15" t="s">
        <v>232</v>
      </c>
      <c r="AE15" t="s">
        <v>266</v>
      </c>
      <c r="AF15">
        <v>2020</v>
      </c>
      <c r="AH15" t="s">
        <v>267</v>
      </c>
    </row>
    <row r="16" spans="1:35" x14ac:dyDescent="0.25">
      <c r="A16" t="s">
        <v>41</v>
      </c>
      <c r="B16" t="s">
        <v>79</v>
      </c>
      <c r="C16" t="s">
        <v>118</v>
      </c>
      <c r="D16">
        <v>69133.8</v>
      </c>
      <c r="E16">
        <v>55057.8</v>
      </c>
      <c r="F16" t="s">
        <v>143</v>
      </c>
      <c r="G16" t="s">
        <v>144</v>
      </c>
      <c r="H16" t="s">
        <v>144</v>
      </c>
      <c r="I16">
        <v>0</v>
      </c>
      <c r="J16" t="s">
        <v>159</v>
      </c>
      <c r="K16">
        <v>190.13</v>
      </c>
      <c r="L16" s="4">
        <f t="shared" si="0"/>
        <v>-163.39999999999998</v>
      </c>
      <c r="M16" t="s">
        <v>198</v>
      </c>
      <c r="N16">
        <v>140.76</v>
      </c>
      <c r="O16">
        <v>0</v>
      </c>
      <c r="P16">
        <v>17.010000000000002</v>
      </c>
      <c r="Q16">
        <v>157.77000000000001</v>
      </c>
      <c r="R16">
        <v>114</v>
      </c>
      <c r="S16">
        <v>43.77</v>
      </c>
      <c r="T16">
        <v>204.12</v>
      </c>
      <c r="U16">
        <v>15</v>
      </c>
      <c r="V16">
        <v>24.12</v>
      </c>
      <c r="W16">
        <v>129</v>
      </c>
      <c r="X16">
        <v>14076</v>
      </c>
      <c r="Y16">
        <v>5559.95</v>
      </c>
      <c r="Z16">
        <v>4386.95</v>
      </c>
      <c r="AA16">
        <v>1173</v>
      </c>
      <c r="AB16">
        <v>0</v>
      </c>
      <c r="AC16">
        <v>1173</v>
      </c>
      <c r="AD16" t="s">
        <v>233</v>
      </c>
      <c r="AE16" t="s">
        <v>268</v>
      </c>
      <c r="AF16">
        <v>2020</v>
      </c>
      <c r="AH16" t="s">
        <v>267</v>
      </c>
    </row>
    <row r="17" spans="1:35" x14ac:dyDescent="0.25">
      <c r="A17" t="s">
        <v>42</v>
      </c>
      <c r="B17" t="s">
        <v>80</v>
      </c>
      <c r="C17" t="s">
        <v>119</v>
      </c>
      <c r="D17">
        <v>93520.44</v>
      </c>
      <c r="E17">
        <v>79444.44</v>
      </c>
      <c r="F17" t="s">
        <v>143</v>
      </c>
      <c r="G17" t="s">
        <v>144</v>
      </c>
      <c r="H17" t="s">
        <v>144</v>
      </c>
      <c r="I17">
        <v>0</v>
      </c>
      <c r="J17" t="s">
        <v>160</v>
      </c>
      <c r="K17">
        <v>521.97</v>
      </c>
      <c r="L17" s="4">
        <f t="shared" si="0"/>
        <v>-150.81999999999994</v>
      </c>
      <c r="M17" t="s">
        <v>199</v>
      </c>
      <c r="N17">
        <v>140.76</v>
      </c>
      <c r="O17">
        <v>0</v>
      </c>
      <c r="P17">
        <v>17.010000000000002</v>
      </c>
      <c r="Q17">
        <v>157.77000000000001</v>
      </c>
      <c r="R17">
        <v>114</v>
      </c>
      <c r="S17">
        <v>43.77</v>
      </c>
      <c r="T17">
        <v>204.12</v>
      </c>
      <c r="U17">
        <v>15</v>
      </c>
      <c r="V17">
        <v>24.12</v>
      </c>
      <c r="W17">
        <v>129</v>
      </c>
      <c r="X17">
        <v>14076</v>
      </c>
      <c r="Y17">
        <v>7145.46</v>
      </c>
      <c r="Z17">
        <v>5972.46</v>
      </c>
      <c r="AA17">
        <v>1173</v>
      </c>
      <c r="AB17">
        <v>0</v>
      </c>
      <c r="AC17">
        <v>1173</v>
      </c>
      <c r="AD17" t="s">
        <v>234</v>
      </c>
      <c r="AE17" t="s">
        <v>268</v>
      </c>
      <c r="AF17">
        <v>2019</v>
      </c>
    </row>
    <row r="18" spans="1:35" x14ac:dyDescent="0.25">
      <c r="A18" t="s">
        <v>43</v>
      </c>
      <c r="B18" t="s">
        <v>81</v>
      </c>
      <c r="C18" t="s">
        <v>120</v>
      </c>
      <c r="D18">
        <v>63499.56</v>
      </c>
      <c r="E18">
        <v>49423.56</v>
      </c>
      <c r="F18" t="s">
        <v>143</v>
      </c>
      <c r="G18" t="s">
        <v>144</v>
      </c>
      <c r="H18" t="s">
        <v>144</v>
      </c>
      <c r="I18">
        <v>0</v>
      </c>
      <c r="J18" t="s">
        <v>161</v>
      </c>
      <c r="K18">
        <v>120</v>
      </c>
      <c r="L18" s="4">
        <f t="shared" si="0"/>
        <v>11.209999999999994</v>
      </c>
      <c r="M18" t="s">
        <v>144</v>
      </c>
      <c r="N18">
        <v>108.79</v>
      </c>
      <c r="O18">
        <v>0</v>
      </c>
      <c r="P18">
        <v>17.010000000000002</v>
      </c>
      <c r="Q18">
        <v>125.8</v>
      </c>
      <c r="R18">
        <v>114</v>
      </c>
      <c r="S18">
        <v>11.8</v>
      </c>
      <c r="T18">
        <v>204.12</v>
      </c>
      <c r="U18">
        <v>15</v>
      </c>
      <c r="V18">
        <v>24.12</v>
      </c>
      <c r="W18">
        <v>129</v>
      </c>
      <c r="X18">
        <v>14076</v>
      </c>
      <c r="Y18">
        <v>4909.34</v>
      </c>
      <c r="Z18">
        <v>3736.34</v>
      </c>
      <c r="AA18">
        <v>1173</v>
      </c>
      <c r="AB18">
        <v>0</v>
      </c>
      <c r="AC18">
        <v>1173</v>
      </c>
      <c r="AD18" t="s">
        <v>235</v>
      </c>
      <c r="AE18" t="s">
        <v>268</v>
      </c>
      <c r="AF18">
        <v>2020</v>
      </c>
      <c r="AH18" t="s">
        <v>267</v>
      </c>
      <c r="AI18">
        <v>2000</v>
      </c>
    </row>
    <row r="19" spans="1:35" x14ac:dyDescent="0.25">
      <c r="A19" t="s">
        <v>44</v>
      </c>
      <c r="B19" t="s">
        <v>82</v>
      </c>
      <c r="C19" t="s">
        <v>121</v>
      </c>
      <c r="D19">
        <v>57473.88</v>
      </c>
      <c r="E19">
        <v>43397.88</v>
      </c>
      <c r="F19" t="s">
        <v>143</v>
      </c>
      <c r="G19" t="s">
        <v>144</v>
      </c>
      <c r="H19" t="s">
        <v>144</v>
      </c>
      <c r="I19">
        <v>0</v>
      </c>
      <c r="J19" t="s">
        <v>162</v>
      </c>
      <c r="K19">
        <v>363.38</v>
      </c>
      <c r="L19" s="4">
        <f t="shared" si="0"/>
        <v>-77.840000000000032</v>
      </c>
      <c r="M19" t="s">
        <v>200</v>
      </c>
      <c r="N19">
        <v>146.35</v>
      </c>
      <c r="O19">
        <v>0</v>
      </c>
      <c r="P19">
        <v>17.010000000000002</v>
      </c>
      <c r="Q19">
        <v>163.36000000000001</v>
      </c>
      <c r="R19">
        <v>114</v>
      </c>
      <c r="S19">
        <v>49.36</v>
      </c>
      <c r="T19">
        <v>204.12</v>
      </c>
      <c r="U19">
        <v>15</v>
      </c>
      <c r="V19">
        <v>24.12</v>
      </c>
      <c r="W19">
        <v>129</v>
      </c>
      <c r="X19">
        <v>14076</v>
      </c>
      <c r="Y19">
        <v>4220.49</v>
      </c>
      <c r="Z19">
        <v>3047.49</v>
      </c>
      <c r="AA19">
        <v>1173</v>
      </c>
      <c r="AB19">
        <v>0</v>
      </c>
      <c r="AC19">
        <v>1173</v>
      </c>
      <c r="AD19" t="s">
        <v>236</v>
      </c>
      <c r="AE19" t="s">
        <v>266</v>
      </c>
      <c r="AF19">
        <v>2019</v>
      </c>
    </row>
    <row r="20" spans="1:35" x14ac:dyDescent="0.25">
      <c r="A20" t="s">
        <v>45</v>
      </c>
      <c r="B20" t="s">
        <v>83</v>
      </c>
      <c r="C20" t="s">
        <v>122</v>
      </c>
      <c r="D20">
        <v>62681.16</v>
      </c>
      <c r="E20">
        <v>48605.16</v>
      </c>
      <c r="F20" t="s">
        <v>143</v>
      </c>
      <c r="G20" t="s">
        <v>144</v>
      </c>
      <c r="H20" t="s">
        <v>144</v>
      </c>
      <c r="I20">
        <v>0</v>
      </c>
      <c r="J20" t="s">
        <v>163</v>
      </c>
      <c r="K20">
        <v>325.14999999999998</v>
      </c>
      <c r="L20" s="4">
        <f t="shared" si="0"/>
        <v>-76.550000000000011</v>
      </c>
      <c r="M20" t="s">
        <v>201</v>
      </c>
      <c r="N20">
        <v>140.76</v>
      </c>
      <c r="O20">
        <v>0</v>
      </c>
      <c r="P20">
        <v>17.010000000000002</v>
      </c>
      <c r="Q20">
        <v>157.77000000000001</v>
      </c>
      <c r="R20">
        <v>114</v>
      </c>
      <c r="S20">
        <v>43.77</v>
      </c>
      <c r="T20">
        <v>204.12</v>
      </c>
      <c r="U20">
        <v>15</v>
      </c>
      <c r="V20">
        <v>24.12</v>
      </c>
      <c r="W20">
        <v>129</v>
      </c>
      <c r="X20">
        <v>14076</v>
      </c>
      <c r="Y20">
        <v>4654.43</v>
      </c>
      <c r="Z20">
        <v>3481.43</v>
      </c>
      <c r="AA20">
        <v>1173</v>
      </c>
      <c r="AB20">
        <v>0</v>
      </c>
      <c r="AC20">
        <v>1173</v>
      </c>
      <c r="AD20" t="s">
        <v>237</v>
      </c>
      <c r="AE20" t="s">
        <v>266</v>
      </c>
      <c r="AF20">
        <v>2020</v>
      </c>
      <c r="AH20" t="s">
        <v>267</v>
      </c>
    </row>
    <row r="21" spans="1:35" x14ac:dyDescent="0.25">
      <c r="A21" t="s">
        <v>46</v>
      </c>
      <c r="B21" t="s">
        <v>84</v>
      </c>
      <c r="C21" t="s">
        <v>123</v>
      </c>
      <c r="D21">
        <v>113848.8</v>
      </c>
      <c r="E21">
        <v>99772.800000000003</v>
      </c>
      <c r="F21" t="s">
        <v>143</v>
      </c>
      <c r="G21" t="s">
        <v>144</v>
      </c>
      <c r="H21" t="s">
        <v>144</v>
      </c>
      <c r="I21">
        <v>0</v>
      </c>
      <c r="J21" t="s">
        <v>164</v>
      </c>
      <c r="K21">
        <v>606.30999999999995</v>
      </c>
      <c r="L21" s="4">
        <f t="shared" si="0"/>
        <v>-173.60000000000002</v>
      </c>
      <c r="M21" t="s">
        <v>202</v>
      </c>
      <c r="N21">
        <v>140.76</v>
      </c>
      <c r="O21">
        <v>0</v>
      </c>
      <c r="P21">
        <v>17.010000000000002</v>
      </c>
      <c r="Q21">
        <v>157.77000000000001</v>
      </c>
      <c r="R21">
        <v>114</v>
      </c>
      <c r="S21">
        <v>43.77</v>
      </c>
      <c r="T21">
        <v>204.12</v>
      </c>
      <c r="U21">
        <v>15</v>
      </c>
      <c r="V21">
        <v>24.12</v>
      </c>
      <c r="W21">
        <v>129</v>
      </c>
      <c r="X21">
        <v>14076</v>
      </c>
      <c r="Y21">
        <v>9113.11</v>
      </c>
      <c r="Z21">
        <v>7940.11</v>
      </c>
      <c r="AA21">
        <v>1173</v>
      </c>
      <c r="AB21">
        <v>0</v>
      </c>
      <c r="AC21">
        <v>1173</v>
      </c>
      <c r="AD21" t="s">
        <v>238</v>
      </c>
      <c r="AE21" t="s">
        <v>268</v>
      </c>
      <c r="AF21">
        <v>2020</v>
      </c>
      <c r="AH21" t="s">
        <v>267</v>
      </c>
    </row>
    <row r="22" spans="1:35" x14ac:dyDescent="0.25">
      <c r="A22" t="s">
        <v>47</v>
      </c>
      <c r="B22" t="s">
        <v>85</v>
      </c>
      <c r="C22" t="s">
        <v>124</v>
      </c>
      <c r="D22">
        <v>30070.080000000002</v>
      </c>
      <c r="E22">
        <v>15994.08</v>
      </c>
      <c r="F22" t="s">
        <v>143</v>
      </c>
      <c r="G22" t="s">
        <v>144</v>
      </c>
      <c r="H22" t="s">
        <v>144</v>
      </c>
      <c r="I22">
        <v>0</v>
      </c>
      <c r="J22" t="s">
        <v>165</v>
      </c>
      <c r="K22">
        <v>66.17</v>
      </c>
      <c r="L22" s="4">
        <f t="shared" si="0"/>
        <v>-42.209999999999994</v>
      </c>
      <c r="M22" t="s">
        <v>144</v>
      </c>
      <c r="N22">
        <v>108.38</v>
      </c>
      <c r="O22">
        <v>0</v>
      </c>
      <c r="P22">
        <v>17.010000000000002</v>
      </c>
      <c r="Q22">
        <v>125.39</v>
      </c>
      <c r="R22">
        <v>114</v>
      </c>
      <c r="S22">
        <v>11.39</v>
      </c>
      <c r="T22">
        <v>204.12</v>
      </c>
      <c r="U22">
        <v>15</v>
      </c>
      <c r="V22">
        <v>24.12</v>
      </c>
      <c r="W22">
        <v>129</v>
      </c>
      <c r="X22">
        <v>14076</v>
      </c>
      <c r="Y22">
        <v>2210.08</v>
      </c>
      <c r="Z22">
        <v>1037.08</v>
      </c>
      <c r="AA22">
        <v>1173</v>
      </c>
      <c r="AB22">
        <v>0</v>
      </c>
      <c r="AC22">
        <v>1173</v>
      </c>
      <c r="AD22" t="s">
        <v>239</v>
      </c>
      <c r="AE22" t="s">
        <v>266</v>
      </c>
      <c r="AF22">
        <v>2020</v>
      </c>
      <c r="AH22" t="s">
        <v>267</v>
      </c>
    </row>
    <row r="23" spans="1:35" x14ac:dyDescent="0.25">
      <c r="A23" t="s">
        <v>48</v>
      </c>
      <c r="B23" t="s">
        <v>86</v>
      </c>
      <c r="C23" t="s">
        <v>125</v>
      </c>
      <c r="D23">
        <v>74250.12</v>
      </c>
      <c r="E23">
        <v>60174.12</v>
      </c>
      <c r="F23" t="s">
        <v>143</v>
      </c>
      <c r="G23" t="s">
        <v>144</v>
      </c>
      <c r="H23" t="s">
        <v>144</v>
      </c>
      <c r="I23">
        <v>0</v>
      </c>
      <c r="J23" t="s">
        <v>166</v>
      </c>
      <c r="K23">
        <v>415.26</v>
      </c>
      <c r="L23" s="4">
        <f t="shared" si="0"/>
        <v>-151.95000000000005</v>
      </c>
      <c r="M23" t="s">
        <v>203</v>
      </c>
      <c r="N23">
        <v>203.62</v>
      </c>
      <c r="O23">
        <v>0</v>
      </c>
      <c r="P23">
        <v>17.010000000000002</v>
      </c>
      <c r="Q23">
        <v>220.63</v>
      </c>
      <c r="R23">
        <v>114</v>
      </c>
      <c r="S23">
        <v>106.63</v>
      </c>
      <c r="T23">
        <v>204.12</v>
      </c>
      <c r="U23">
        <v>15</v>
      </c>
      <c r="V23">
        <v>24.12</v>
      </c>
      <c r="W23">
        <v>129</v>
      </c>
      <c r="X23">
        <v>14076</v>
      </c>
      <c r="Y23">
        <v>5509.84</v>
      </c>
      <c r="Z23">
        <v>4336.84</v>
      </c>
      <c r="AA23">
        <v>1173</v>
      </c>
      <c r="AB23">
        <v>0</v>
      </c>
      <c r="AC23">
        <v>1173</v>
      </c>
      <c r="AD23" t="s">
        <v>240</v>
      </c>
      <c r="AE23" t="s">
        <v>266</v>
      </c>
      <c r="AF23">
        <v>2019</v>
      </c>
      <c r="AG23">
        <v>2</v>
      </c>
    </row>
    <row r="24" spans="1:35" x14ac:dyDescent="0.25">
      <c r="A24" t="s">
        <v>49</v>
      </c>
      <c r="B24" t="s">
        <v>87</v>
      </c>
      <c r="C24" t="s">
        <v>126</v>
      </c>
      <c r="D24">
        <v>71500.44</v>
      </c>
      <c r="E24">
        <v>57424.44</v>
      </c>
      <c r="F24" t="s">
        <v>143</v>
      </c>
      <c r="G24" t="s">
        <v>144</v>
      </c>
      <c r="H24" t="s">
        <v>144</v>
      </c>
      <c r="I24">
        <v>0</v>
      </c>
      <c r="J24" t="s">
        <v>167</v>
      </c>
      <c r="K24">
        <v>271.45999999999998</v>
      </c>
      <c r="L24" s="4">
        <f t="shared" si="0"/>
        <v>-58.660000000000025</v>
      </c>
      <c r="M24" t="s">
        <v>204</v>
      </c>
      <c r="N24">
        <v>140.76</v>
      </c>
      <c r="O24">
        <v>0</v>
      </c>
      <c r="P24">
        <v>17.010000000000002</v>
      </c>
      <c r="Q24">
        <v>157.77000000000001</v>
      </c>
      <c r="R24">
        <v>114</v>
      </c>
      <c r="S24">
        <v>43.77</v>
      </c>
      <c r="T24">
        <v>204.12</v>
      </c>
      <c r="U24">
        <v>15</v>
      </c>
      <c r="V24">
        <v>24.12</v>
      </c>
      <c r="W24">
        <v>129</v>
      </c>
      <c r="X24">
        <v>14076</v>
      </c>
      <c r="Y24">
        <v>5364.87</v>
      </c>
      <c r="Z24">
        <v>4191.87</v>
      </c>
      <c r="AA24">
        <v>1173</v>
      </c>
      <c r="AB24">
        <v>0</v>
      </c>
      <c r="AC24">
        <v>1173</v>
      </c>
      <c r="AD24" t="s">
        <v>241</v>
      </c>
      <c r="AE24" t="s">
        <v>268</v>
      </c>
      <c r="AF24">
        <v>2020</v>
      </c>
      <c r="AH24" t="s">
        <v>267</v>
      </c>
    </row>
    <row r="25" spans="1:35" x14ac:dyDescent="0.25">
      <c r="A25" t="s">
        <v>50</v>
      </c>
      <c r="B25" t="s">
        <v>88</v>
      </c>
      <c r="C25" t="s">
        <v>127</v>
      </c>
      <c r="D25">
        <v>41915.040000000001</v>
      </c>
      <c r="E25">
        <v>27839.040000000001</v>
      </c>
      <c r="F25" t="s">
        <v>143</v>
      </c>
      <c r="G25" t="s">
        <v>144</v>
      </c>
      <c r="H25" t="s">
        <v>144</v>
      </c>
      <c r="I25">
        <v>0</v>
      </c>
      <c r="J25" t="s">
        <v>168</v>
      </c>
      <c r="K25">
        <v>136.12</v>
      </c>
      <c r="L25" s="4">
        <f t="shared" si="0"/>
        <v>-73.319999999999993</v>
      </c>
      <c r="M25" t="s">
        <v>205</v>
      </c>
      <c r="N25">
        <v>121.65</v>
      </c>
      <c r="O25">
        <v>0</v>
      </c>
      <c r="P25">
        <v>17.010000000000002</v>
      </c>
      <c r="Q25">
        <v>138.66</v>
      </c>
      <c r="R25">
        <v>114</v>
      </c>
      <c r="S25">
        <v>24.66</v>
      </c>
      <c r="T25">
        <v>204.12</v>
      </c>
      <c r="U25">
        <v>15</v>
      </c>
      <c r="V25">
        <v>24.12</v>
      </c>
      <c r="W25">
        <v>129</v>
      </c>
      <c r="X25">
        <v>14076</v>
      </c>
      <c r="Y25">
        <v>3284.26</v>
      </c>
      <c r="Z25">
        <v>2111.2600000000002</v>
      </c>
      <c r="AA25">
        <v>1173</v>
      </c>
      <c r="AB25">
        <v>0</v>
      </c>
      <c r="AC25">
        <v>1173</v>
      </c>
      <c r="AD25" t="s">
        <v>242</v>
      </c>
      <c r="AE25" t="s">
        <v>268</v>
      </c>
      <c r="AF25">
        <v>2019</v>
      </c>
    </row>
    <row r="26" spans="1:35" x14ac:dyDescent="0.25">
      <c r="A26" t="s">
        <v>51</v>
      </c>
      <c r="B26" t="s">
        <v>89</v>
      </c>
      <c r="C26" t="s">
        <v>128</v>
      </c>
      <c r="D26">
        <v>62155.08</v>
      </c>
      <c r="E26">
        <v>48079.08</v>
      </c>
      <c r="F26" t="s">
        <v>143</v>
      </c>
      <c r="G26" t="s">
        <v>144</v>
      </c>
      <c r="H26" t="s">
        <v>144</v>
      </c>
      <c r="I26">
        <v>0</v>
      </c>
      <c r="J26" t="s">
        <v>169</v>
      </c>
      <c r="K26">
        <v>200.59</v>
      </c>
      <c r="L26" s="4">
        <f t="shared" si="0"/>
        <v>-99.72999999999999</v>
      </c>
      <c r="M26" t="s">
        <v>206</v>
      </c>
      <c r="N26">
        <v>136.80000000000001</v>
      </c>
      <c r="O26">
        <v>0</v>
      </c>
      <c r="P26">
        <v>17.010000000000002</v>
      </c>
      <c r="Q26">
        <v>153.81</v>
      </c>
      <c r="R26">
        <v>114</v>
      </c>
      <c r="S26">
        <v>39.81</v>
      </c>
      <c r="T26">
        <v>204.12</v>
      </c>
      <c r="U26">
        <v>15</v>
      </c>
      <c r="V26">
        <v>24.12</v>
      </c>
      <c r="W26">
        <v>129</v>
      </c>
      <c r="X26">
        <v>14076</v>
      </c>
      <c r="Y26">
        <v>5116.5600000000004</v>
      </c>
      <c r="Z26">
        <v>3943.56</v>
      </c>
      <c r="AA26">
        <v>1173</v>
      </c>
      <c r="AB26">
        <v>0</v>
      </c>
      <c r="AC26">
        <v>1173</v>
      </c>
      <c r="AD26" t="s">
        <v>243</v>
      </c>
      <c r="AE26" t="s">
        <v>268</v>
      </c>
      <c r="AF26">
        <v>2020</v>
      </c>
      <c r="AH26" t="s">
        <v>267</v>
      </c>
    </row>
    <row r="27" spans="1:35" x14ac:dyDescent="0.25">
      <c r="A27" t="s">
        <v>52</v>
      </c>
      <c r="B27" t="s">
        <v>90</v>
      </c>
      <c r="C27" t="s">
        <v>129</v>
      </c>
      <c r="D27">
        <v>66499.56</v>
      </c>
      <c r="E27">
        <v>52423.56</v>
      </c>
      <c r="F27" t="s">
        <v>143</v>
      </c>
      <c r="G27" t="s">
        <v>144</v>
      </c>
      <c r="H27" t="s">
        <v>144</v>
      </c>
      <c r="I27">
        <v>0</v>
      </c>
      <c r="J27" t="s">
        <v>170</v>
      </c>
      <c r="K27">
        <v>541.12</v>
      </c>
      <c r="L27" s="4">
        <f t="shared" si="0"/>
        <v>120.30000000000001</v>
      </c>
      <c r="M27" t="s">
        <v>207</v>
      </c>
      <c r="N27">
        <v>140.76</v>
      </c>
      <c r="O27">
        <v>0</v>
      </c>
      <c r="P27">
        <v>17.010000000000002</v>
      </c>
      <c r="Q27">
        <v>157.77000000000001</v>
      </c>
      <c r="R27">
        <v>114</v>
      </c>
      <c r="S27">
        <v>43.77</v>
      </c>
      <c r="T27">
        <v>204.12</v>
      </c>
      <c r="U27">
        <v>15</v>
      </c>
      <c r="V27">
        <v>24.12</v>
      </c>
      <c r="W27">
        <v>129</v>
      </c>
      <c r="X27">
        <v>14076</v>
      </c>
      <c r="Y27">
        <v>4813.75</v>
      </c>
      <c r="Z27">
        <v>3640.75</v>
      </c>
      <c r="AA27">
        <v>1173</v>
      </c>
      <c r="AB27">
        <v>0</v>
      </c>
      <c r="AC27">
        <v>1173</v>
      </c>
      <c r="AD27" t="s">
        <v>244</v>
      </c>
      <c r="AE27" t="s">
        <v>266</v>
      </c>
      <c r="AF27">
        <v>2020</v>
      </c>
      <c r="AH27" t="s">
        <v>267</v>
      </c>
    </row>
    <row r="28" spans="1:35" x14ac:dyDescent="0.25">
      <c r="A28" t="s">
        <v>53</v>
      </c>
      <c r="B28" t="s">
        <v>91</v>
      </c>
      <c r="C28" t="s">
        <v>130</v>
      </c>
      <c r="D28">
        <v>65719.56</v>
      </c>
      <c r="E28">
        <v>51643.56</v>
      </c>
      <c r="F28" t="s">
        <v>143</v>
      </c>
      <c r="G28" t="s">
        <v>144</v>
      </c>
      <c r="H28" t="s">
        <v>144</v>
      </c>
      <c r="I28">
        <v>0</v>
      </c>
      <c r="J28" t="s">
        <v>171</v>
      </c>
      <c r="K28">
        <v>399.73</v>
      </c>
      <c r="L28" s="4">
        <f t="shared" si="0"/>
        <v>-120.61000000000001</v>
      </c>
      <c r="M28" t="s">
        <v>208</v>
      </c>
      <c r="N28">
        <v>182.32</v>
      </c>
      <c r="O28">
        <v>0</v>
      </c>
      <c r="P28">
        <v>17.010000000000002</v>
      </c>
      <c r="Q28">
        <v>199.33</v>
      </c>
      <c r="R28">
        <v>114</v>
      </c>
      <c r="S28">
        <v>85.33</v>
      </c>
      <c r="T28">
        <v>204</v>
      </c>
      <c r="U28">
        <v>15</v>
      </c>
      <c r="V28">
        <v>24</v>
      </c>
      <c r="W28">
        <v>129</v>
      </c>
      <c r="X28">
        <v>14076</v>
      </c>
      <c r="Y28">
        <v>5296.83</v>
      </c>
      <c r="Z28">
        <v>4123.83</v>
      </c>
      <c r="AA28">
        <v>1173</v>
      </c>
      <c r="AB28">
        <v>0</v>
      </c>
      <c r="AC28">
        <v>1173</v>
      </c>
      <c r="AD28" t="s">
        <v>245</v>
      </c>
      <c r="AE28" t="s">
        <v>266</v>
      </c>
      <c r="AF28">
        <v>2020</v>
      </c>
      <c r="AH28" t="s">
        <v>267</v>
      </c>
    </row>
    <row r="29" spans="1:35" x14ac:dyDescent="0.25">
      <c r="A29" t="s">
        <v>54</v>
      </c>
      <c r="B29" t="s">
        <v>92</v>
      </c>
      <c r="C29" t="s">
        <v>131</v>
      </c>
      <c r="D29">
        <v>27695.64</v>
      </c>
      <c r="E29">
        <v>13619.64</v>
      </c>
      <c r="F29" t="s">
        <v>143</v>
      </c>
      <c r="G29" t="s">
        <v>144</v>
      </c>
      <c r="H29" t="s">
        <v>144</v>
      </c>
      <c r="I29">
        <v>0</v>
      </c>
      <c r="J29" t="s">
        <v>172</v>
      </c>
      <c r="K29">
        <v>76.78</v>
      </c>
      <c r="L29" s="4">
        <f t="shared" si="0"/>
        <v>-42.370000000000005</v>
      </c>
      <c r="M29" t="s">
        <v>144</v>
      </c>
      <c r="N29">
        <v>119.15</v>
      </c>
      <c r="O29">
        <v>0</v>
      </c>
      <c r="P29">
        <v>17.010000000000002</v>
      </c>
      <c r="Q29">
        <v>136.16</v>
      </c>
      <c r="R29">
        <v>114</v>
      </c>
      <c r="S29">
        <v>22.16</v>
      </c>
      <c r="T29">
        <v>204.12</v>
      </c>
      <c r="U29">
        <v>15</v>
      </c>
      <c r="V29">
        <v>24.12</v>
      </c>
      <c r="W29">
        <v>129</v>
      </c>
      <c r="X29">
        <v>14076</v>
      </c>
      <c r="Y29">
        <v>2299.85</v>
      </c>
      <c r="Z29">
        <v>1126.8499999999999</v>
      </c>
      <c r="AA29">
        <v>1173</v>
      </c>
      <c r="AB29">
        <v>0</v>
      </c>
      <c r="AC29">
        <v>1173</v>
      </c>
      <c r="AD29" t="s">
        <v>246</v>
      </c>
      <c r="AE29" t="s">
        <v>266</v>
      </c>
      <c r="AF29">
        <v>2020</v>
      </c>
      <c r="AH29" t="s">
        <v>267</v>
      </c>
    </row>
    <row r="30" spans="1:35" x14ac:dyDescent="0.25">
      <c r="A30" t="s">
        <v>55</v>
      </c>
      <c r="B30" t="s">
        <v>93</v>
      </c>
      <c r="C30" t="s">
        <v>132</v>
      </c>
      <c r="D30">
        <v>34128</v>
      </c>
      <c r="E30">
        <v>20052</v>
      </c>
      <c r="F30" t="s">
        <v>143</v>
      </c>
      <c r="G30" t="s">
        <v>144</v>
      </c>
      <c r="H30" t="s">
        <v>144</v>
      </c>
      <c r="I30">
        <v>0</v>
      </c>
      <c r="J30" t="s">
        <v>173</v>
      </c>
      <c r="K30">
        <v>107.61</v>
      </c>
      <c r="L30" s="4">
        <f t="shared" si="0"/>
        <v>-52.989999999999995</v>
      </c>
      <c r="M30" t="s">
        <v>209</v>
      </c>
      <c r="N30">
        <v>128.79</v>
      </c>
      <c r="O30">
        <v>0</v>
      </c>
      <c r="P30">
        <v>17.010000000000002</v>
      </c>
      <c r="Q30">
        <v>145.80000000000001</v>
      </c>
      <c r="R30">
        <v>114</v>
      </c>
      <c r="S30">
        <v>31.8</v>
      </c>
      <c r="T30">
        <v>204.12</v>
      </c>
      <c r="U30">
        <v>15</v>
      </c>
      <c r="V30">
        <v>24.12</v>
      </c>
      <c r="W30">
        <v>129</v>
      </c>
      <c r="X30">
        <v>14076</v>
      </c>
      <c r="Y30">
        <v>2645.24</v>
      </c>
      <c r="Z30">
        <v>1472.24</v>
      </c>
      <c r="AA30">
        <v>1173</v>
      </c>
      <c r="AB30">
        <v>0</v>
      </c>
      <c r="AC30">
        <v>1173</v>
      </c>
      <c r="AD30" t="s">
        <v>247</v>
      </c>
      <c r="AE30" t="s">
        <v>266</v>
      </c>
      <c r="AF30">
        <v>2020</v>
      </c>
      <c r="AH30" t="s">
        <v>267</v>
      </c>
    </row>
    <row r="31" spans="1:35" x14ac:dyDescent="0.25">
      <c r="A31" t="s">
        <v>56</v>
      </c>
      <c r="B31" t="s">
        <v>94</v>
      </c>
      <c r="C31" t="s">
        <v>133</v>
      </c>
      <c r="D31">
        <v>81317.759999999995</v>
      </c>
      <c r="E31">
        <v>67241.759999999995</v>
      </c>
      <c r="F31" t="s">
        <v>143</v>
      </c>
      <c r="G31" t="s">
        <v>144</v>
      </c>
      <c r="H31" t="s">
        <v>144</v>
      </c>
      <c r="I31">
        <v>0</v>
      </c>
      <c r="J31" t="s">
        <v>174</v>
      </c>
      <c r="K31">
        <v>982</v>
      </c>
      <c r="L31" s="4">
        <f t="shared" si="0"/>
        <v>136.13</v>
      </c>
      <c r="M31" t="s">
        <v>210</v>
      </c>
      <c r="N31">
        <v>258.06</v>
      </c>
      <c r="O31">
        <v>0</v>
      </c>
      <c r="P31">
        <v>17.010000000000002</v>
      </c>
      <c r="Q31">
        <v>275.07</v>
      </c>
      <c r="R31">
        <v>114</v>
      </c>
      <c r="S31">
        <v>161.07</v>
      </c>
      <c r="T31">
        <v>204.12</v>
      </c>
      <c r="U31">
        <v>15</v>
      </c>
      <c r="V31">
        <v>24.12</v>
      </c>
      <c r="W31">
        <v>129</v>
      </c>
      <c r="X31">
        <v>14076</v>
      </c>
      <c r="Y31">
        <v>6776.48</v>
      </c>
      <c r="Z31">
        <v>5603.48</v>
      </c>
      <c r="AA31">
        <v>1173</v>
      </c>
      <c r="AB31">
        <v>0</v>
      </c>
      <c r="AC31">
        <v>1173</v>
      </c>
      <c r="AD31" t="s">
        <v>248</v>
      </c>
      <c r="AE31" t="s">
        <v>266</v>
      </c>
      <c r="AF31">
        <v>2020</v>
      </c>
      <c r="AH31" t="s">
        <v>267</v>
      </c>
    </row>
    <row r="32" spans="1:35" x14ac:dyDescent="0.25">
      <c r="A32" t="s">
        <v>57</v>
      </c>
      <c r="B32" t="s">
        <v>95</v>
      </c>
      <c r="C32" t="s">
        <v>134</v>
      </c>
      <c r="D32">
        <v>70937.52</v>
      </c>
      <c r="E32">
        <v>56861.52</v>
      </c>
      <c r="F32" t="s">
        <v>143</v>
      </c>
      <c r="G32" t="s">
        <v>144</v>
      </c>
      <c r="H32" t="s">
        <v>144</v>
      </c>
      <c r="I32">
        <v>0</v>
      </c>
      <c r="J32" t="s">
        <v>175</v>
      </c>
      <c r="K32">
        <v>352.56</v>
      </c>
      <c r="L32" s="4">
        <f t="shared" si="0"/>
        <v>-8.1899999999999977</v>
      </c>
      <c r="M32" t="s">
        <v>211</v>
      </c>
      <c r="N32">
        <v>140.76</v>
      </c>
      <c r="O32">
        <v>0</v>
      </c>
      <c r="P32">
        <v>17.010000000000002</v>
      </c>
      <c r="Q32">
        <v>157.77000000000001</v>
      </c>
      <c r="R32">
        <v>114</v>
      </c>
      <c r="S32">
        <v>43.77</v>
      </c>
      <c r="T32">
        <v>204.12</v>
      </c>
      <c r="U32">
        <v>15</v>
      </c>
      <c r="V32">
        <v>24.12</v>
      </c>
      <c r="W32">
        <v>129</v>
      </c>
      <c r="X32">
        <v>14076</v>
      </c>
      <c r="Y32">
        <v>5620.11</v>
      </c>
      <c r="Z32">
        <v>4447.1099999999997</v>
      </c>
      <c r="AA32">
        <v>1173</v>
      </c>
      <c r="AB32">
        <v>0</v>
      </c>
      <c r="AC32">
        <v>1173</v>
      </c>
      <c r="AD32" t="s">
        <v>249</v>
      </c>
      <c r="AE32" t="s">
        <v>268</v>
      </c>
      <c r="AF32">
        <v>2020</v>
      </c>
      <c r="AH32" t="s">
        <v>267</v>
      </c>
    </row>
    <row r="33" spans="1:35" x14ac:dyDescent="0.25">
      <c r="A33" t="s">
        <v>58</v>
      </c>
      <c r="B33" t="s">
        <v>96</v>
      </c>
      <c r="C33" t="s">
        <v>135</v>
      </c>
      <c r="D33">
        <v>72000</v>
      </c>
      <c r="E33">
        <v>57924</v>
      </c>
      <c r="F33" t="s">
        <v>143</v>
      </c>
      <c r="G33" t="s">
        <v>144</v>
      </c>
      <c r="H33" t="s">
        <v>144</v>
      </c>
      <c r="I33">
        <v>0</v>
      </c>
      <c r="J33" t="s">
        <v>176</v>
      </c>
      <c r="K33">
        <v>213.35</v>
      </c>
      <c r="L33" s="4">
        <f t="shared" si="0"/>
        <v>-109.06000000000003</v>
      </c>
      <c r="M33" t="s">
        <v>212</v>
      </c>
      <c r="N33">
        <v>140.47999999999999</v>
      </c>
      <c r="O33">
        <v>0</v>
      </c>
      <c r="P33">
        <v>17.010000000000002</v>
      </c>
      <c r="Q33">
        <v>157.49</v>
      </c>
      <c r="R33">
        <v>114</v>
      </c>
      <c r="S33">
        <v>43.49</v>
      </c>
      <c r="T33">
        <v>204.12</v>
      </c>
      <c r="U33">
        <v>15</v>
      </c>
      <c r="V33">
        <v>24.12</v>
      </c>
      <c r="W33">
        <v>129</v>
      </c>
      <c r="X33">
        <v>14076</v>
      </c>
      <c r="Y33">
        <v>5300.66</v>
      </c>
      <c r="Z33">
        <v>4127.66</v>
      </c>
      <c r="AA33">
        <v>1173</v>
      </c>
      <c r="AB33">
        <v>0</v>
      </c>
      <c r="AC33">
        <v>1173</v>
      </c>
      <c r="AD33" t="s">
        <v>250</v>
      </c>
      <c r="AE33" t="s">
        <v>268</v>
      </c>
      <c r="AF33">
        <v>2020</v>
      </c>
      <c r="AH33" t="s">
        <v>267</v>
      </c>
    </row>
    <row r="34" spans="1:35" x14ac:dyDescent="0.25">
      <c r="A34" t="s">
        <v>59</v>
      </c>
      <c r="B34" t="s">
        <v>97</v>
      </c>
      <c r="C34" t="s">
        <v>136</v>
      </c>
      <c r="D34">
        <v>76519.56</v>
      </c>
      <c r="E34">
        <v>62443.56</v>
      </c>
      <c r="F34" t="s">
        <v>143</v>
      </c>
      <c r="G34" t="s">
        <v>144</v>
      </c>
      <c r="H34" t="s">
        <v>144</v>
      </c>
      <c r="I34">
        <v>0</v>
      </c>
      <c r="J34" t="s">
        <v>177</v>
      </c>
      <c r="K34">
        <v>301.13</v>
      </c>
      <c r="L34" s="4">
        <f t="shared" si="0"/>
        <v>-127.93</v>
      </c>
      <c r="M34" t="s">
        <v>213</v>
      </c>
      <c r="N34">
        <v>140.76</v>
      </c>
      <c r="O34">
        <v>0</v>
      </c>
      <c r="P34">
        <v>17.010000000000002</v>
      </c>
      <c r="Q34">
        <v>157.77000000000001</v>
      </c>
      <c r="R34">
        <v>114</v>
      </c>
      <c r="S34">
        <v>43.77</v>
      </c>
      <c r="T34">
        <v>204.12</v>
      </c>
      <c r="U34">
        <v>15</v>
      </c>
      <c r="V34">
        <v>24.12</v>
      </c>
      <c r="W34">
        <v>129</v>
      </c>
      <c r="X34">
        <v>14076</v>
      </c>
      <c r="Y34">
        <v>6189.43</v>
      </c>
      <c r="Z34">
        <v>5016.43</v>
      </c>
      <c r="AA34">
        <v>1173</v>
      </c>
      <c r="AB34">
        <v>0</v>
      </c>
      <c r="AC34">
        <v>1173</v>
      </c>
      <c r="AD34" t="s">
        <v>251</v>
      </c>
      <c r="AE34" t="s">
        <v>268</v>
      </c>
      <c r="AF34">
        <v>2020</v>
      </c>
      <c r="AH34" t="s">
        <v>267</v>
      </c>
    </row>
    <row r="35" spans="1:35" x14ac:dyDescent="0.25">
      <c r="A35" t="s">
        <v>47</v>
      </c>
      <c r="B35" t="s">
        <v>98</v>
      </c>
      <c r="C35" t="s">
        <v>137</v>
      </c>
      <c r="D35">
        <v>74951.759999999995</v>
      </c>
      <c r="E35">
        <v>60875.76</v>
      </c>
      <c r="F35" t="s">
        <v>143</v>
      </c>
      <c r="G35" t="s">
        <v>144</v>
      </c>
      <c r="H35" t="s">
        <v>144</v>
      </c>
      <c r="I35">
        <v>0</v>
      </c>
      <c r="J35" t="s">
        <v>178</v>
      </c>
      <c r="K35">
        <v>15.01</v>
      </c>
      <c r="L35" s="4">
        <f t="shared" si="0"/>
        <v>-152.86000000000001</v>
      </c>
      <c r="M35" t="s">
        <v>144</v>
      </c>
      <c r="N35">
        <v>167.87</v>
      </c>
      <c r="O35">
        <v>0</v>
      </c>
      <c r="P35">
        <v>17.010000000000002</v>
      </c>
      <c r="Q35">
        <v>184.88</v>
      </c>
      <c r="R35">
        <v>114</v>
      </c>
      <c r="S35">
        <v>70.88</v>
      </c>
      <c r="T35">
        <v>204.12</v>
      </c>
      <c r="U35">
        <v>15</v>
      </c>
      <c r="V35">
        <v>24.12</v>
      </c>
      <c r="W35">
        <v>129</v>
      </c>
      <c r="X35">
        <v>14076</v>
      </c>
      <c r="Y35">
        <v>5209.84</v>
      </c>
      <c r="Z35">
        <v>4036.84</v>
      </c>
      <c r="AA35">
        <v>1173</v>
      </c>
      <c r="AB35">
        <v>0</v>
      </c>
      <c r="AC35">
        <v>1173</v>
      </c>
      <c r="AD35" t="s">
        <v>252</v>
      </c>
      <c r="AE35" t="s">
        <v>268</v>
      </c>
      <c r="AF35">
        <v>2020</v>
      </c>
      <c r="AH35" t="s">
        <v>269</v>
      </c>
      <c r="AI35">
        <v>4000</v>
      </c>
    </row>
    <row r="36" spans="1:35" x14ac:dyDescent="0.25">
      <c r="A36" t="s">
        <v>60</v>
      </c>
      <c r="B36" t="s">
        <v>98</v>
      </c>
      <c r="C36" t="s">
        <v>128</v>
      </c>
      <c r="D36">
        <v>62155.08</v>
      </c>
      <c r="E36">
        <v>48079.08</v>
      </c>
      <c r="F36" t="s">
        <v>143</v>
      </c>
      <c r="G36" t="s">
        <v>144</v>
      </c>
      <c r="H36" t="s">
        <v>144</v>
      </c>
      <c r="I36">
        <v>0</v>
      </c>
      <c r="J36" t="s">
        <v>179</v>
      </c>
      <c r="K36">
        <v>364.75</v>
      </c>
      <c r="L36" s="4">
        <f t="shared" si="0"/>
        <v>-86.07</v>
      </c>
      <c r="M36" t="s">
        <v>214</v>
      </c>
      <c r="N36">
        <v>150.72</v>
      </c>
      <c r="O36">
        <v>0</v>
      </c>
      <c r="P36">
        <v>17.010000000000002</v>
      </c>
      <c r="Q36">
        <v>167.73</v>
      </c>
      <c r="R36">
        <v>114</v>
      </c>
      <c r="S36">
        <v>53.73</v>
      </c>
      <c r="T36">
        <v>204.12</v>
      </c>
      <c r="U36">
        <v>15</v>
      </c>
      <c r="V36">
        <v>24.12</v>
      </c>
      <c r="W36">
        <v>129</v>
      </c>
      <c r="X36">
        <v>14076</v>
      </c>
      <c r="Y36">
        <v>4980.83</v>
      </c>
      <c r="Z36">
        <v>3807.83</v>
      </c>
      <c r="AA36">
        <v>1173</v>
      </c>
      <c r="AB36">
        <v>0</v>
      </c>
      <c r="AC36">
        <v>1173</v>
      </c>
      <c r="AD36" t="s">
        <v>253</v>
      </c>
      <c r="AE36" t="s">
        <v>266</v>
      </c>
      <c r="AF36">
        <v>2020</v>
      </c>
      <c r="AH36" t="s">
        <v>267</v>
      </c>
    </row>
    <row r="37" spans="1:35" x14ac:dyDescent="0.25">
      <c r="A37" t="s">
        <v>61</v>
      </c>
      <c r="B37" t="s">
        <v>99</v>
      </c>
      <c r="C37" t="s">
        <v>138</v>
      </c>
      <c r="D37">
        <v>31581</v>
      </c>
      <c r="E37">
        <v>17505</v>
      </c>
      <c r="F37" t="s">
        <v>143</v>
      </c>
      <c r="G37" t="s">
        <v>144</v>
      </c>
      <c r="H37" t="s">
        <v>144</v>
      </c>
      <c r="I37">
        <v>0</v>
      </c>
      <c r="J37" t="s">
        <v>180</v>
      </c>
      <c r="K37">
        <v>89.32</v>
      </c>
      <c r="L37" s="4">
        <f t="shared" si="0"/>
        <v>-48.080000000000013</v>
      </c>
      <c r="M37" t="s">
        <v>215</v>
      </c>
      <c r="N37">
        <v>133.03</v>
      </c>
      <c r="O37">
        <v>0</v>
      </c>
      <c r="P37">
        <v>17.010000000000002</v>
      </c>
      <c r="Q37">
        <v>150.04</v>
      </c>
      <c r="R37">
        <v>114</v>
      </c>
      <c r="S37">
        <v>36.04</v>
      </c>
      <c r="T37">
        <v>204.12</v>
      </c>
      <c r="U37">
        <v>15</v>
      </c>
      <c r="V37">
        <v>24.12</v>
      </c>
      <c r="W37">
        <v>129</v>
      </c>
      <c r="X37">
        <v>14076</v>
      </c>
      <c r="Y37">
        <v>2451.9499999999998</v>
      </c>
      <c r="Z37">
        <v>1278.95</v>
      </c>
      <c r="AA37">
        <v>1173</v>
      </c>
      <c r="AB37">
        <v>0</v>
      </c>
      <c r="AC37">
        <v>1173</v>
      </c>
      <c r="AD37" t="s">
        <v>254</v>
      </c>
      <c r="AE37" t="s">
        <v>266</v>
      </c>
      <c r="AF37">
        <v>2020</v>
      </c>
      <c r="AH37" t="s">
        <v>267</v>
      </c>
    </row>
    <row r="38" spans="1:35" x14ac:dyDescent="0.25">
      <c r="A38" t="s">
        <v>62</v>
      </c>
      <c r="B38" t="s">
        <v>100</v>
      </c>
      <c r="C38" t="s">
        <v>139</v>
      </c>
      <c r="D38">
        <v>32298.48</v>
      </c>
      <c r="E38">
        <v>18222.48</v>
      </c>
      <c r="F38" t="s">
        <v>143</v>
      </c>
      <c r="G38" t="s">
        <v>144</v>
      </c>
      <c r="H38" t="s">
        <v>144</v>
      </c>
      <c r="I38">
        <v>0</v>
      </c>
      <c r="J38" t="s">
        <v>181</v>
      </c>
      <c r="K38">
        <v>52.33</v>
      </c>
      <c r="L38" s="4">
        <f t="shared" si="0"/>
        <v>-59.7</v>
      </c>
      <c r="M38" t="s">
        <v>144</v>
      </c>
      <c r="N38">
        <v>112.03</v>
      </c>
      <c r="O38">
        <v>0</v>
      </c>
      <c r="P38">
        <v>17.010000000000002</v>
      </c>
      <c r="Q38">
        <v>129.04</v>
      </c>
      <c r="R38">
        <v>114</v>
      </c>
      <c r="S38">
        <v>15.04</v>
      </c>
      <c r="T38">
        <v>204.12</v>
      </c>
      <c r="U38">
        <v>15</v>
      </c>
      <c r="V38">
        <v>24.12</v>
      </c>
      <c r="W38">
        <v>129</v>
      </c>
      <c r="X38">
        <v>14076</v>
      </c>
      <c r="Y38">
        <v>2353.66</v>
      </c>
      <c r="Z38">
        <v>1180.6600000000001</v>
      </c>
      <c r="AA38">
        <v>1173</v>
      </c>
      <c r="AB38">
        <v>0</v>
      </c>
      <c r="AC38">
        <v>1173</v>
      </c>
      <c r="AD38" t="s">
        <v>255</v>
      </c>
      <c r="AE38" t="s">
        <v>268</v>
      </c>
      <c r="AF38">
        <v>2019</v>
      </c>
    </row>
    <row r="39" spans="1:35" x14ac:dyDescent="0.25">
      <c r="A39" t="s">
        <v>63</v>
      </c>
      <c r="B39" t="s">
        <v>101</v>
      </c>
      <c r="C39" t="s">
        <v>140</v>
      </c>
      <c r="D39">
        <v>67422.240000000005</v>
      </c>
      <c r="E39">
        <v>53346.239999999998</v>
      </c>
      <c r="F39" t="s">
        <v>143</v>
      </c>
      <c r="G39" t="s">
        <v>144</v>
      </c>
      <c r="H39" t="s">
        <v>144</v>
      </c>
      <c r="I39">
        <v>0</v>
      </c>
      <c r="J39" t="s">
        <v>182</v>
      </c>
      <c r="K39">
        <v>218.83</v>
      </c>
      <c r="L39" s="4">
        <f t="shared" si="0"/>
        <v>-136.00999999999996</v>
      </c>
      <c r="M39" t="s">
        <v>216</v>
      </c>
      <c r="N39">
        <v>140.76</v>
      </c>
      <c r="O39">
        <v>0</v>
      </c>
      <c r="P39">
        <v>17.010000000000002</v>
      </c>
      <c r="Q39">
        <v>157.77000000000001</v>
      </c>
      <c r="R39">
        <v>114</v>
      </c>
      <c r="S39">
        <v>43.77</v>
      </c>
      <c r="T39">
        <v>204.12</v>
      </c>
      <c r="U39">
        <v>15</v>
      </c>
      <c r="V39">
        <v>24.12</v>
      </c>
      <c r="W39">
        <v>129</v>
      </c>
      <c r="X39">
        <v>14076</v>
      </c>
      <c r="Y39">
        <v>5212.58</v>
      </c>
      <c r="Z39">
        <v>4039.58</v>
      </c>
      <c r="AA39">
        <v>1173</v>
      </c>
      <c r="AB39">
        <v>0</v>
      </c>
      <c r="AC39">
        <v>1173</v>
      </c>
      <c r="AD39" t="s">
        <v>256</v>
      </c>
      <c r="AE39" t="s">
        <v>268</v>
      </c>
      <c r="AF39">
        <v>2019</v>
      </c>
      <c r="AG39">
        <v>2</v>
      </c>
    </row>
    <row r="40" spans="1:35" x14ac:dyDescent="0.25">
      <c r="A40" t="s">
        <v>64</v>
      </c>
      <c r="B40" t="s">
        <v>102</v>
      </c>
      <c r="C40" t="s">
        <v>141</v>
      </c>
      <c r="D40">
        <v>75000</v>
      </c>
      <c r="E40">
        <v>60924</v>
      </c>
      <c r="F40" t="s">
        <v>143</v>
      </c>
      <c r="G40" t="s">
        <v>144</v>
      </c>
      <c r="H40" t="s">
        <v>144</v>
      </c>
      <c r="I40">
        <v>0</v>
      </c>
      <c r="J40" t="s">
        <v>183</v>
      </c>
      <c r="K40">
        <v>256.3</v>
      </c>
      <c r="L40" s="4">
        <f t="shared" si="0"/>
        <v>-111.53999999999996</v>
      </c>
      <c r="M40" t="s">
        <v>217</v>
      </c>
      <c r="N40">
        <v>140.76</v>
      </c>
      <c r="O40">
        <v>0</v>
      </c>
      <c r="P40">
        <v>17.010000000000002</v>
      </c>
      <c r="Q40">
        <v>157.77000000000001</v>
      </c>
      <c r="R40">
        <v>114</v>
      </c>
      <c r="S40">
        <v>43.77</v>
      </c>
      <c r="T40">
        <v>204.12</v>
      </c>
      <c r="U40">
        <v>15</v>
      </c>
      <c r="V40">
        <v>24.12</v>
      </c>
      <c r="W40">
        <v>129</v>
      </c>
      <c r="X40">
        <v>14076</v>
      </c>
      <c r="Y40">
        <v>5679.24</v>
      </c>
      <c r="Z40">
        <v>4506.24</v>
      </c>
      <c r="AA40">
        <v>1173</v>
      </c>
      <c r="AB40">
        <v>0</v>
      </c>
      <c r="AC40">
        <v>1173</v>
      </c>
      <c r="AD40" t="s">
        <v>257</v>
      </c>
      <c r="AE40" t="s">
        <v>268</v>
      </c>
      <c r="AF40">
        <v>2020</v>
      </c>
      <c r="AH40" t="s">
        <v>267</v>
      </c>
    </row>
    <row r="41" spans="1:35" x14ac:dyDescent="0.25">
      <c r="A41" t="s">
        <v>65</v>
      </c>
      <c r="B41" t="s">
        <v>103</v>
      </c>
      <c r="C41" t="s">
        <v>142</v>
      </c>
      <c r="D41">
        <v>70055.88</v>
      </c>
      <c r="E41">
        <v>55979.88</v>
      </c>
      <c r="F41" t="s">
        <v>143</v>
      </c>
      <c r="G41" t="s">
        <v>144</v>
      </c>
      <c r="H41" t="s">
        <v>144</v>
      </c>
      <c r="I41">
        <v>0</v>
      </c>
      <c r="J41" t="s">
        <v>184</v>
      </c>
      <c r="K41">
        <v>441.4</v>
      </c>
      <c r="L41" s="4">
        <f t="shared" si="0"/>
        <v>-161.88999999999999</v>
      </c>
      <c r="M41" t="s">
        <v>218</v>
      </c>
      <c r="N41">
        <v>220.02</v>
      </c>
      <c r="O41">
        <v>0</v>
      </c>
      <c r="P41">
        <v>17.010000000000002</v>
      </c>
      <c r="Q41">
        <v>237.03</v>
      </c>
      <c r="R41">
        <v>114</v>
      </c>
      <c r="S41">
        <v>123.03</v>
      </c>
      <c r="T41">
        <v>204.12</v>
      </c>
      <c r="U41">
        <v>15</v>
      </c>
      <c r="V41">
        <v>24.12</v>
      </c>
      <c r="W41">
        <v>129</v>
      </c>
      <c r="X41">
        <v>14076</v>
      </c>
      <c r="Y41">
        <v>5673.87</v>
      </c>
      <c r="Z41">
        <v>4500.87</v>
      </c>
      <c r="AA41">
        <v>1173</v>
      </c>
      <c r="AB41">
        <v>0</v>
      </c>
      <c r="AC41">
        <v>1173</v>
      </c>
      <c r="AD41" t="s">
        <v>258</v>
      </c>
      <c r="AE41" t="s">
        <v>266</v>
      </c>
      <c r="AF41">
        <v>2020</v>
      </c>
      <c r="AH41" t="s">
        <v>267</v>
      </c>
    </row>
  </sheetData>
  <autoFilter ref="A1:AI4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0F435-D6D2-43B8-BAE5-59FFB9244B2D}">
  <sheetPr>
    <pageSetUpPr fitToPage="1"/>
  </sheetPr>
  <dimension ref="A1:O44"/>
  <sheetViews>
    <sheetView zoomScale="90" zoomScaleNormal="90" workbookViewId="0">
      <selection activeCell="N14" sqref="N14"/>
    </sheetView>
  </sheetViews>
  <sheetFormatPr defaultColWidth="9.140625" defaultRowHeight="18" customHeight="1" x14ac:dyDescent="0.2"/>
  <cols>
    <col min="1" max="2" width="25.5703125" style="9" customWidth="1"/>
    <col min="3" max="3" width="15.5703125" style="9" hidden="1" customWidth="1"/>
    <col min="4" max="4" width="13.85546875" style="9" hidden="1" customWidth="1"/>
    <col min="5" max="5" width="12.5703125" style="9" hidden="1" customWidth="1"/>
    <col min="6" max="6" width="12.42578125" style="9" hidden="1" customWidth="1"/>
    <col min="7" max="7" width="16.5703125" style="9" hidden="1" customWidth="1"/>
    <col min="8" max="9" width="15.5703125" style="15" hidden="1" customWidth="1"/>
    <col min="10" max="12" width="18.140625" style="18" customWidth="1"/>
    <col min="13" max="13" width="97.85546875" style="9" customWidth="1"/>
    <col min="14" max="14" width="10.7109375" style="9" bestFit="1" customWidth="1"/>
    <col min="15" max="15" width="11" style="9" customWidth="1"/>
    <col min="16" max="16" width="11.42578125" style="9" customWidth="1"/>
    <col min="17" max="16384" width="9.140625" style="9"/>
  </cols>
  <sheetData>
    <row r="1" spans="1:15" ht="18" customHeight="1" x14ac:dyDescent="0.25">
      <c r="A1" s="5" t="s">
        <v>270</v>
      </c>
      <c r="B1" s="6"/>
      <c r="C1" s="6"/>
      <c r="D1" s="6"/>
      <c r="E1" s="6"/>
      <c r="F1" s="6"/>
      <c r="G1" s="6"/>
      <c r="H1" s="7"/>
      <c r="I1" s="7"/>
      <c r="J1" s="8"/>
      <c r="K1" s="8"/>
      <c r="L1" s="8"/>
      <c r="M1" s="6"/>
    </row>
    <row r="2" spans="1:15" ht="18" customHeight="1" x14ac:dyDescent="0.2">
      <c r="A2" s="10" t="s">
        <v>271</v>
      </c>
      <c r="B2" s="11"/>
      <c r="C2" s="11"/>
      <c r="D2" s="11"/>
      <c r="E2" s="11"/>
      <c r="F2" s="11"/>
      <c r="G2" s="11"/>
      <c r="H2" s="12"/>
      <c r="I2" s="12"/>
      <c r="J2" s="13"/>
      <c r="K2" s="13"/>
      <c r="L2" s="13"/>
      <c r="M2" s="11"/>
    </row>
    <row r="3" spans="1:15" ht="21.75" customHeight="1" x14ac:dyDescent="0.2">
      <c r="A3" s="10" t="s">
        <v>272</v>
      </c>
      <c r="B3" s="11"/>
      <c r="C3" s="11"/>
      <c r="D3" s="11"/>
      <c r="E3" s="11"/>
      <c r="F3" s="11"/>
      <c r="G3" s="11"/>
      <c r="H3" s="12"/>
      <c r="I3" s="12"/>
      <c r="J3" s="13"/>
      <c r="K3" s="13"/>
      <c r="L3" s="13"/>
      <c r="M3" s="11"/>
    </row>
    <row r="4" spans="1:15" ht="30" customHeight="1" x14ac:dyDescent="0.2">
      <c r="A4" s="19" t="s">
        <v>0</v>
      </c>
      <c r="B4" s="19" t="s">
        <v>1</v>
      </c>
      <c r="C4" s="20" t="s">
        <v>273</v>
      </c>
      <c r="D4" s="20" t="s">
        <v>274</v>
      </c>
      <c r="E4" s="20" t="s">
        <v>275</v>
      </c>
      <c r="F4" s="20" t="s">
        <v>276</v>
      </c>
      <c r="G4" s="20" t="s">
        <v>277</v>
      </c>
      <c r="H4" s="21" t="s">
        <v>278</v>
      </c>
      <c r="I4" s="21" t="s">
        <v>279</v>
      </c>
      <c r="J4" s="22" t="s">
        <v>280</v>
      </c>
      <c r="K4" s="23" t="s">
        <v>293</v>
      </c>
      <c r="L4" s="23" t="s">
        <v>260</v>
      </c>
      <c r="M4" s="20" t="s">
        <v>281</v>
      </c>
    </row>
    <row r="5" spans="1:15" ht="21" customHeight="1" x14ac:dyDescent="0.25">
      <c r="A5" s="14" t="s">
        <v>28</v>
      </c>
      <c r="B5" s="14" t="s">
        <v>66</v>
      </c>
      <c r="C5" s="24">
        <v>12</v>
      </c>
      <c r="D5" s="25">
        <v>1173</v>
      </c>
      <c r="E5" s="25">
        <v>1173</v>
      </c>
      <c r="F5" s="25">
        <v>114</v>
      </c>
      <c r="G5" s="25">
        <v>114</v>
      </c>
      <c r="H5" s="26">
        <v>5141.43</v>
      </c>
      <c r="I5" s="26">
        <v>5215.2</v>
      </c>
      <c r="J5" s="32">
        <v>73.769999999999527</v>
      </c>
      <c r="K5" s="27">
        <v>161.07</v>
      </c>
      <c r="L5" s="32">
        <v>-87.300000000000466</v>
      </c>
      <c r="M5" s="28"/>
      <c r="N5" s="16"/>
      <c r="O5" s="16"/>
    </row>
    <row r="6" spans="1:15" ht="18" customHeight="1" x14ac:dyDescent="0.25">
      <c r="A6" s="14" t="s">
        <v>29</v>
      </c>
      <c r="B6" s="14" t="s">
        <v>66</v>
      </c>
      <c r="C6" s="24">
        <v>12</v>
      </c>
      <c r="D6" s="25">
        <v>1173</v>
      </c>
      <c r="E6" s="25">
        <v>1173</v>
      </c>
      <c r="F6" s="25">
        <v>114</v>
      </c>
      <c r="G6" s="25">
        <v>114</v>
      </c>
      <c r="H6" s="26">
        <v>8355.08</v>
      </c>
      <c r="I6" s="26">
        <v>8516.15</v>
      </c>
      <c r="J6" s="32">
        <v>161.06999999999971</v>
      </c>
      <c r="K6" s="27">
        <v>184.53</v>
      </c>
      <c r="L6" s="32">
        <v>-23.460000000000292</v>
      </c>
      <c r="M6" s="24"/>
      <c r="N6" s="16"/>
      <c r="O6" s="16"/>
    </row>
    <row r="7" spans="1:15" ht="18" customHeight="1" x14ac:dyDescent="0.25">
      <c r="A7" s="14" t="s">
        <v>30</v>
      </c>
      <c r="B7" s="14" t="s">
        <v>67</v>
      </c>
      <c r="C7" s="24">
        <v>12</v>
      </c>
      <c r="D7" s="25">
        <v>1173</v>
      </c>
      <c r="E7" s="25">
        <v>1173</v>
      </c>
      <c r="F7" s="25">
        <v>114</v>
      </c>
      <c r="G7" s="25">
        <v>114</v>
      </c>
      <c r="H7" s="26">
        <v>2665.22</v>
      </c>
      <c r="I7" s="26">
        <v>2615.27</v>
      </c>
      <c r="J7" s="40">
        <v>-49.949999999999818</v>
      </c>
      <c r="K7" s="27">
        <v>21.81</v>
      </c>
      <c r="L7" s="32">
        <v>-71.75999999999982</v>
      </c>
      <c r="M7" s="24" t="s">
        <v>282</v>
      </c>
      <c r="N7" s="16"/>
      <c r="O7" s="16"/>
    </row>
    <row r="8" spans="1:15" ht="18" customHeight="1" x14ac:dyDescent="0.25">
      <c r="A8" s="14" t="s">
        <v>44</v>
      </c>
      <c r="B8" s="14" t="s">
        <v>82</v>
      </c>
      <c r="C8" s="24">
        <v>12</v>
      </c>
      <c r="D8" s="25">
        <v>1173</v>
      </c>
      <c r="E8" s="25">
        <v>1173</v>
      </c>
      <c r="F8" s="25">
        <v>114</v>
      </c>
      <c r="G8" s="25">
        <v>114</v>
      </c>
      <c r="H8" s="26">
        <v>3369.65</v>
      </c>
      <c r="I8" s="26">
        <v>3413.42</v>
      </c>
      <c r="J8" s="32">
        <v>43.769999999999982</v>
      </c>
      <c r="K8" s="27">
        <v>49.36</v>
      </c>
      <c r="L8" s="32">
        <v>-5.5900000000000176</v>
      </c>
      <c r="M8" s="24"/>
    </row>
    <row r="9" spans="1:15" ht="18" customHeight="1" x14ac:dyDescent="0.25">
      <c r="A9" s="14" t="s">
        <v>31</v>
      </c>
      <c r="B9" s="14" t="s">
        <v>68</v>
      </c>
      <c r="C9" s="24">
        <v>12</v>
      </c>
      <c r="D9" s="25">
        <v>1173</v>
      </c>
      <c r="E9" s="25">
        <v>1173</v>
      </c>
      <c r="F9" s="25">
        <v>114</v>
      </c>
      <c r="G9" s="25">
        <v>114</v>
      </c>
      <c r="H9" s="26">
        <v>4252.16</v>
      </c>
      <c r="I9" s="26">
        <v>4295.93</v>
      </c>
      <c r="J9" s="32">
        <v>43.770000000000437</v>
      </c>
      <c r="K9" s="27">
        <v>76.03</v>
      </c>
      <c r="L9" s="32">
        <v>-32.259999999999565</v>
      </c>
      <c r="M9" s="29"/>
      <c r="N9" s="16"/>
      <c r="O9" s="16"/>
    </row>
    <row r="10" spans="1:15" ht="18" customHeight="1" x14ac:dyDescent="0.25">
      <c r="A10" s="17" t="s">
        <v>32</v>
      </c>
      <c r="B10" s="17" t="s">
        <v>69</v>
      </c>
      <c r="C10" s="24">
        <v>12</v>
      </c>
      <c r="D10" s="25">
        <v>1173</v>
      </c>
      <c r="E10" s="25">
        <v>1173</v>
      </c>
      <c r="F10" s="25">
        <v>114</v>
      </c>
      <c r="G10" s="25">
        <v>114</v>
      </c>
      <c r="H10" s="26">
        <v>4489.49</v>
      </c>
      <c r="I10" s="26">
        <v>4533.26</v>
      </c>
      <c r="J10" s="32">
        <v>43.770000000000437</v>
      </c>
      <c r="K10" s="27">
        <v>43.77</v>
      </c>
      <c r="L10" s="32">
        <v>4.3343106881366111E-13</v>
      </c>
      <c r="M10" s="24"/>
    </row>
    <row r="11" spans="1:15" ht="18" customHeight="1" x14ac:dyDescent="0.25">
      <c r="A11" s="14" t="s">
        <v>33</v>
      </c>
      <c r="B11" s="14" t="s">
        <v>70</v>
      </c>
      <c r="C11" s="24">
        <v>12</v>
      </c>
      <c r="D11" s="25">
        <v>1173</v>
      </c>
      <c r="E11" s="25">
        <v>1173</v>
      </c>
      <c r="F11" s="25">
        <v>114</v>
      </c>
      <c r="G11" s="25">
        <v>114</v>
      </c>
      <c r="H11" s="26">
        <v>4321.32</v>
      </c>
      <c r="I11" s="30">
        <v>4341.63</v>
      </c>
      <c r="J11" s="32">
        <v>20.3100000000004</v>
      </c>
      <c r="K11" s="27">
        <v>38.880000000000003</v>
      </c>
      <c r="L11" s="32">
        <v>-18.569999999999602</v>
      </c>
      <c r="M11" s="24"/>
      <c r="N11" s="16"/>
      <c r="O11" s="16"/>
    </row>
    <row r="12" spans="1:15" ht="18" customHeight="1" x14ac:dyDescent="0.25">
      <c r="A12" s="14" t="s">
        <v>34</v>
      </c>
      <c r="B12" s="14" t="s">
        <v>71</v>
      </c>
      <c r="C12" s="24">
        <v>12</v>
      </c>
      <c r="D12" s="25">
        <v>1173</v>
      </c>
      <c r="E12" s="25">
        <v>1173</v>
      </c>
      <c r="F12" s="25">
        <v>114</v>
      </c>
      <c r="G12" s="25">
        <v>114</v>
      </c>
      <c r="H12" s="26">
        <v>3908.86</v>
      </c>
      <c r="I12" s="26">
        <v>3952.63</v>
      </c>
      <c r="J12" s="32">
        <v>43.769999999999982</v>
      </c>
      <c r="K12" s="27">
        <v>43.77</v>
      </c>
      <c r="L12" s="32">
        <v>0</v>
      </c>
      <c r="M12" s="24"/>
      <c r="N12" s="16"/>
      <c r="O12" s="16"/>
    </row>
    <row r="13" spans="1:15" ht="18" customHeight="1" x14ac:dyDescent="0.25">
      <c r="A13" s="14" t="s">
        <v>29</v>
      </c>
      <c r="B13" s="14" t="s">
        <v>283</v>
      </c>
      <c r="C13" s="24">
        <v>12</v>
      </c>
      <c r="D13" s="25">
        <v>1173</v>
      </c>
      <c r="E13" s="25">
        <v>1173</v>
      </c>
      <c r="F13" s="25">
        <v>114</v>
      </c>
      <c r="G13" s="25">
        <v>114</v>
      </c>
      <c r="H13" s="26">
        <v>3199.97</v>
      </c>
      <c r="I13" s="26">
        <v>3243.74</v>
      </c>
      <c r="J13" s="32">
        <v>43.769999999999982</v>
      </c>
      <c r="K13" s="27">
        <v>43.77</v>
      </c>
      <c r="L13" s="32">
        <v>0</v>
      </c>
      <c r="M13" s="24"/>
      <c r="N13" s="16"/>
      <c r="O13" s="16"/>
    </row>
    <row r="14" spans="1:15" ht="18" customHeight="1" x14ac:dyDescent="0.25">
      <c r="A14" s="14" t="s">
        <v>35</v>
      </c>
      <c r="B14" s="14" t="s">
        <v>73</v>
      </c>
      <c r="C14" s="24">
        <v>12</v>
      </c>
      <c r="D14" s="25">
        <v>1173</v>
      </c>
      <c r="E14" s="25">
        <v>1173</v>
      </c>
      <c r="F14" s="25">
        <v>114</v>
      </c>
      <c r="G14" s="25">
        <v>114</v>
      </c>
      <c r="H14" s="26">
        <v>3789.24</v>
      </c>
      <c r="I14" s="26">
        <v>3747.48</v>
      </c>
      <c r="J14" s="40">
        <v>-41.759999999999764</v>
      </c>
      <c r="K14" s="27">
        <v>20.309999999999999</v>
      </c>
      <c r="L14" s="32">
        <v>-62.069999999999766</v>
      </c>
      <c r="M14" s="24" t="s">
        <v>284</v>
      </c>
      <c r="N14" s="16"/>
      <c r="O14" s="16"/>
    </row>
    <row r="15" spans="1:15" ht="18" customHeight="1" x14ac:dyDescent="0.25">
      <c r="A15" s="14" t="s">
        <v>36</v>
      </c>
      <c r="B15" s="14" t="s">
        <v>74</v>
      </c>
      <c r="C15" s="24">
        <v>12</v>
      </c>
      <c r="D15" s="25">
        <v>1173</v>
      </c>
      <c r="E15" s="25">
        <v>1173</v>
      </c>
      <c r="F15" s="25">
        <v>114</v>
      </c>
      <c r="G15" s="25">
        <v>114</v>
      </c>
      <c r="H15" s="26">
        <v>1860.6</v>
      </c>
      <c r="I15" s="26">
        <v>1827.19</v>
      </c>
      <c r="J15" s="40">
        <v>-33.409999999999854</v>
      </c>
      <c r="K15" s="27">
        <v>7.53</v>
      </c>
      <c r="L15" s="32">
        <v>-40.939999999999856</v>
      </c>
      <c r="M15" s="24" t="s">
        <v>285</v>
      </c>
      <c r="N15" s="16"/>
      <c r="O15" s="16"/>
    </row>
    <row r="16" spans="1:15" ht="18" customHeight="1" x14ac:dyDescent="0.25">
      <c r="A16" s="14" t="s">
        <v>37</v>
      </c>
      <c r="B16" s="14" t="s">
        <v>75</v>
      </c>
      <c r="C16" s="24">
        <v>12</v>
      </c>
      <c r="D16" s="25">
        <v>1173</v>
      </c>
      <c r="E16" s="25">
        <v>1173</v>
      </c>
      <c r="F16" s="25">
        <v>114</v>
      </c>
      <c r="G16" s="25">
        <v>114</v>
      </c>
      <c r="H16" s="26">
        <v>4024.33</v>
      </c>
      <c r="I16" s="26">
        <v>4044.64</v>
      </c>
      <c r="J16" s="32">
        <v>20.309999999999945</v>
      </c>
      <c r="K16" s="27">
        <v>36.369999999999997</v>
      </c>
      <c r="L16" s="32">
        <v>-16.060000000000052</v>
      </c>
      <c r="M16" s="31"/>
      <c r="N16" s="16"/>
      <c r="O16" s="16"/>
    </row>
    <row r="17" spans="1:15" ht="18" customHeight="1" x14ac:dyDescent="0.25">
      <c r="A17" s="14" t="s">
        <v>38</v>
      </c>
      <c r="B17" s="14" t="s">
        <v>76</v>
      </c>
      <c r="C17" s="24">
        <v>12</v>
      </c>
      <c r="D17" s="25">
        <v>1173</v>
      </c>
      <c r="E17" s="25">
        <v>1173</v>
      </c>
      <c r="F17" s="25">
        <v>114</v>
      </c>
      <c r="G17" s="25">
        <v>114</v>
      </c>
      <c r="H17" s="26">
        <v>5176.62</v>
      </c>
      <c r="I17" s="26">
        <v>5215.6499999999996</v>
      </c>
      <c r="J17" s="32">
        <v>39.029999999999745</v>
      </c>
      <c r="K17" s="27">
        <v>43.77</v>
      </c>
      <c r="L17" s="32">
        <v>-4.7400000000002578</v>
      </c>
      <c r="M17" s="31"/>
      <c r="N17" s="16"/>
      <c r="O17" s="16"/>
    </row>
    <row r="18" spans="1:15" ht="18" customHeight="1" x14ac:dyDescent="0.25">
      <c r="A18" s="14" t="s">
        <v>39</v>
      </c>
      <c r="B18" s="14" t="s">
        <v>77</v>
      </c>
      <c r="C18" s="24">
        <v>12</v>
      </c>
      <c r="D18" s="25">
        <v>1173</v>
      </c>
      <c r="E18" s="25">
        <v>1173</v>
      </c>
      <c r="F18" s="25">
        <v>114</v>
      </c>
      <c r="G18" s="25">
        <v>114</v>
      </c>
      <c r="H18" s="26">
        <v>2746.37</v>
      </c>
      <c r="I18" s="30">
        <v>2766.67</v>
      </c>
      <c r="J18" s="32">
        <v>20.300000000000182</v>
      </c>
      <c r="K18" s="27">
        <v>25.55</v>
      </c>
      <c r="L18" s="32">
        <v>-5.2499999999998188</v>
      </c>
      <c r="M18" s="24"/>
      <c r="N18" s="16"/>
      <c r="O18" s="16"/>
    </row>
    <row r="19" spans="1:15" ht="18" customHeight="1" x14ac:dyDescent="0.25">
      <c r="A19" s="14" t="s">
        <v>40</v>
      </c>
      <c r="B19" s="14" t="s">
        <v>78</v>
      </c>
      <c r="C19" s="24">
        <v>12</v>
      </c>
      <c r="D19" s="25">
        <v>1173</v>
      </c>
      <c r="E19" s="25">
        <v>1173</v>
      </c>
      <c r="F19" s="25">
        <v>114</v>
      </c>
      <c r="G19" s="25">
        <v>114</v>
      </c>
      <c r="H19" s="26">
        <v>3670.95</v>
      </c>
      <c r="I19" s="26">
        <v>3714.72</v>
      </c>
      <c r="J19" s="32">
        <v>43.769999999999982</v>
      </c>
      <c r="K19" s="27">
        <v>66.84</v>
      </c>
      <c r="L19" s="32">
        <v>-23.070000000000022</v>
      </c>
      <c r="M19" s="24"/>
      <c r="N19" s="16"/>
      <c r="O19" s="16"/>
    </row>
    <row r="20" spans="1:15" ht="18" customHeight="1" x14ac:dyDescent="0.25">
      <c r="A20" s="14" t="s">
        <v>41</v>
      </c>
      <c r="B20" s="14" t="s">
        <v>79</v>
      </c>
      <c r="C20" s="24">
        <v>12</v>
      </c>
      <c r="D20" s="25">
        <v>1173</v>
      </c>
      <c r="E20" s="25">
        <v>1173</v>
      </c>
      <c r="F20" s="25">
        <v>114</v>
      </c>
      <c r="G20" s="25">
        <v>114</v>
      </c>
      <c r="H20" s="26">
        <v>4276.46</v>
      </c>
      <c r="I20" s="26">
        <v>4296.7700000000004</v>
      </c>
      <c r="J20" s="32">
        <v>20.3100000000004</v>
      </c>
      <c r="K20" s="27">
        <v>43.77</v>
      </c>
      <c r="L20" s="32">
        <v>-23.459999999999603</v>
      </c>
      <c r="M20" s="24"/>
    </row>
    <row r="21" spans="1:15" ht="18" customHeight="1" x14ac:dyDescent="0.25">
      <c r="A21" s="14" t="s">
        <v>42</v>
      </c>
      <c r="B21" s="14" t="s">
        <v>80</v>
      </c>
      <c r="C21" s="24">
        <v>12</v>
      </c>
      <c r="D21" s="25">
        <v>1173</v>
      </c>
      <c r="E21" s="25">
        <v>1173</v>
      </c>
      <c r="F21" s="25">
        <v>114</v>
      </c>
      <c r="G21" s="25">
        <v>114</v>
      </c>
      <c r="H21" s="26">
        <v>5606.27</v>
      </c>
      <c r="I21" s="26">
        <v>5650.04</v>
      </c>
      <c r="J21" s="32">
        <v>43.77</v>
      </c>
      <c r="K21" s="27">
        <v>43.77</v>
      </c>
      <c r="L21" s="32">
        <v>0</v>
      </c>
      <c r="M21" s="24"/>
    </row>
    <row r="22" spans="1:15" ht="18" customHeight="1" x14ac:dyDescent="0.25">
      <c r="A22" s="14" t="s">
        <v>43</v>
      </c>
      <c r="B22" s="14" t="s">
        <v>81</v>
      </c>
      <c r="C22" s="24">
        <v>12</v>
      </c>
      <c r="D22" s="25">
        <v>1173</v>
      </c>
      <c r="E22" s="25">
        <v>1173</v>
      </c>
      <c r="F22" s="25">
        <v>114</v>
      </c>
      <c r="G22" s="25">
        <v>114</v>
      </c>
      <c r="H22" s="26">
        <v>3989.69</v>
      </c>
      <c r="I22" s="26">
        <v>3892.7</v>
      </c>
      <c r="J22" s="40">
        <v>-96.990000000000236</v>
      </c>
      <c r="K22" s="27">
        <v>11.8</v>
      </c>
      <c r="L22" s="32">
        <v>-108.79000000000023</v>
      </c>
      <c r="M22" s="24" t="s">
        <v>286</v>
      </c>
    </row>
    <row r="23" spans="1:15" ht="18" customHeight="1" x14ac:dyDescent="0.25">
      <c r="A23" s="14" t="s">
        <v>45</v>
      </c>
      <c r="B23" s="14" t="s">
        <v>83</v>
      </c>
      <c r="C23" s="24">
        <v>12</v>
      </c>
      <c r="D23" s="25">
        <v>1173</v>
      </c>
      <c r="E23" s="25">
        <v>1173</v>
      </c>
      <c r="F23" s="25">
        <v>114</v>
      </c>
      <c r="G23" s="25">
        <v>114</v>
      </c>
      <c r="H23" s="26">
        <v>3466.9</v>
      </c>
      <c r="I23" s="26">
        <v>3510.67</v>
      </c>
      <c r="J23" s="32">
        <v>43.769999999999982</v>
      </c>
      <c r="K23" s="27">
        <v>43.77</v>
      </c>
      <c r="L23" s="32">
        <v>0</v>
      </c>
      <c r="M23" s="24"/>
    </row>
    <row r="24" spans="1:15" ht="18" customHeight="1" x14ac:dyDescent="0.25">
      <c r="A24" s="14" t="s">
        <v>46</v>
      </c>
      <c r="B24" s="14" t="s">
        <v>84</v>
      </c>
      <c r="C24" s="24">
        <v>12</v>
      </c>
      <c r="D24" s="25">
        <v>1173</v>
      </c>
      <c r="E24" s="25">
        <v>1173</v>
      </c>
      <c r="F24" s="25">
        <v>114</v>
      </c>
      <c r="G24" s="25">
        <v>114</v>
      </c>
      <c r="H24" s="26">
        <v>7235.45</v>
      </c>
      <c r="I24" s="26">
        <v>7279.21</v>
      </c>
      <c r="J24" s="32">
        <v>43.760000000000218</v>
      </c>
      <c r="K24" s="27">
        <v>43.77</v>
      </c>
      <c r="L24" s="32">
        <v>-9.9999999997848477E-3</v>
      </c>
      <c r="M24" s="24"/>
    </row>
    <row r="25" spans="1:15" ht="18" customHeight="1" x14ac:dyDescent="0.25">
      <c r="A25" s="14" t="s">
        <v>47</v>
      </c>
      <c r="B25" s="14" t="s">
        <v>85</v>
      </c>
      <c r="C25" s="24">
        <v>12</v>
      </c>
      <c r="D25" s="25">
        <v>1173</v>
      </c>
      <c r="E25" s="25">
        <v>1173</v>
      </c>
      <c r="F25" s="25">
        <v>114</v>
      </c>
      <c r="G25" s="25">
        <v>114</v>
      </c>
      <c r="H25" s="26">
        <v>1878.84</v>
      </c>
      <c r="I25" s="26">
        <v>1848.02</v>
      </c>
      <c r="J25" s="40">
        <v>-30.819999999999936</v>
      </c>
      <c r="K25" s="27">
        <v>11.39</v>
      </c>
      <c r="L25" s="32">
        <v>-42.209999999999937</v>
      </c>
      <c r="M25" s="24" t="s">
        <v>287</v>
      </c>
    </row>
    <row r="26" spans="1:15" ht="18" customHeight="1" x14ac:dyDescent="0.25">
      <c r="A26" s="14" t="s">
        <v>48</v>
      </c>
      <c r="B26" s="14" t="s">
        <v>86</v>
      </c>
      <c r="C26" s="24">
        <v>12</v>
      </c>
      <c r="D26" s="25">
        <v>1173</v>
      </c>
      <c r="E26" s="25">
        <v>1173</v>
      </c>
      <c r="F26" s="25">
        <v>114</v>
      </c>
      <c r="G26" s="25">
        <v>114</v>
      </c>
      <c r="H26" s="26">
        <v>4418.21</v>
      </c>
      <c r="I26" s="26">
        <v>4461.9799999999996</v>
      </c>
      <c r="J26" s="32">
        <v>43.769999999999527</v>
      </c>
      <c r="K26" s="27">
        <v>106.63</v>
      </c>
      <c r="L26" s="32">
        <v>-62.860000000000468</v>
      </c>
      <c r="M26" s="24"/>
    </row>
    <row r="27" spans="1:15" ht="18" customHeight="1" x14ac:dyDescent="0.25">
      <c r="A27" s="14" t="s">
        <v>49</v>
      </c>
      <c r="B27" s="14" t="s">
        <v>87</v>
      </c>
      <c r="C27" s="24">
        <v>12</v>
      </c>
      <c r="D27" s="25">
        <v>1173</v>
      </c>
      <c r="E27" s="25">
        <v>1173</v>
      </c>
      <c r="F27" s="25">
        <v>114</v>
      </c>
      <c r="G27" s="25">
        <v>114</v>
      </c>
      <c r="H27" s="26">
        <v>4384.38</v>
      </c>
      <c r="I27" s="26">
        <v>4407.1499999999996</v>
      </c>
      <c r="J27" s="32">
        <v>22.769999999999527</v>
      </c>
      <c r="K27" s="27">
        <v>43.77</v>
      </c>
      <c r="L27" s="32">
        <v>-21.000000000000476</v>
      </c>
      <c r="M27" s="24"/>
    </row>
    <row r="28" spans="1:15" ht="18" customHeight="1" x14ac:dyDescent="0.25">
      <c r="A28" s="14" t="s">
        <v>288</v>
      </c>
      <c r="B28" s="14" t="s">
        <v>88</v>
      </c>
      <c r="C28" s="24">
        <v>12</v>
      </c>
      <c r="D28" s="25">
        <v>1173</v>
      </c>
      <c r="E28" s="25">
        <v>1173</v>
      </c>
      <c r="F28" s="25">
        <v>114</v>
      </c>
      <c r="G28" s="25">
        <v>114</v>
      </c>
      <c r="H28" s="26">
        <v>2751.05</v>
      </c>
      <c r="I28" s="26">
        <v>2771.36</v>
      </c>
      <c r="J28" s="32">
        <v>20.309999999999945</v>
      </c>
      <c r="K28" s="27">
        <v>24.66</v>
      </c>
      <c r="L28" s="32">
        <v>-4.3500000000000547</v>
      </c>
      <c r="M28" s="24"/>
    </row>
    <row r="29" spans="1:15" ht="18" customHeight="1" x14ac:dyDescent="0.25">
      <c r="A29" s="14" t="s">
        <v>51</v>
      </c>
      <c r="B29" s="14" t="s">
        <v>89</v>
      </c>
      <c r="C29" s="24">
        <v>12</v>
      </c>
      <c r="D29" s="25">
        <v>1173</v>
      </c>
      <c r="E29" s="25">
        <v>1173</v>
      </c>
      <c r="F29" s="25">
        <v>114</v>
      </c>
      <c r="G29" s="25">
        <v>114</v>
      </c>
      <c r="H29" s="26">
        <v>3610.09</v>
      </c>
      <c r="I29" s="26">
        <v>3630.4</v>
      </c>
      <c r="J29" s="32">
        <v>20.309999999999945</v>
      </c>
      <c r="K29" s="27">
        <v>39.81</v>
      </c>
      <c r="L29" s="32">
        <v>-19.500000000000057</v>
      </c>
      <c r="M29" s="24"/>
    </row>
    <row r="30" spans="1:15" ht="18" customHeight="1" x14ac:dyDescent="0.25">
      <c r="A30" s="14" t="s">
        <v>52</v>
      </c>
      <c r="B30" s="14" t="s">
        <v>90</v>
      </c>
      <c r="C30" s="24">
        <v>12</v>
      </c>
      <c r="D30" s="25">
        <v>1173</v>
      </c>
      <c r="E30" s="25">
        <v>1173</v>
      </c>
      <c r="F30" s="25">
        <v>114</v>
      </c>
      <c r="G30" s="25">
        <v>114</v>
      </c>
      <c r="H30" s="26">
        <v>3695</v>
      </c>
      <c r="I30" s="26">
        <v>3738.77</v>
      </c>
      <c r="J30" s="32">
        <v>43.769999999999982</v>
      </c>
      <c r="K30" s="27">
        <v>43.77</v>
      </c>
      <c r="L30" s="32">
        <v>0</v>
      </c>
      <c r="M30" s="24"/>
    </row>
    <row r="31" spans="1:15" ht="18" customHeight="1" x14ac:dyDescent="0.25">
      <c r="A31" s="14" t="s">
        <v>53</v>
      </c>
      <c r="B31" s="14" t="s">
        <v>91</v>
      </c>
      <c r="C31" s="24">
        <v>12</v>
      </c>
      <c r="D31" s="25">
        <v>1173</v>
      </c>
      <c r="E31" s="25">
        <v>1173</v>
      </c>
      <c r="F31" s="25">
        <v>114</v>
      </c>
      <c r="G31" s="25">
        <v>114</v>
      </c>
      <c r="H31" s="26">
        <v>4320.88</v>
      </c>
      <c r="I31" s="26">
        <v>4364.6400000000003</v>
      </c>
      <c r="J31" s="32">
        <v>43.760000000000218</v>
      </c>
      <c r="K31" s="27">
        <v>85.33</v>
      </c>
      <c r="L31" s="32">
        <v>-41.56999999999978</v>
      </c>
      <c r="M31" s="24"/>
    </row>
    <row r="32" spans="1:15" ht="18" customHeight="1" x14ac:dyDescent="0.25">
      <c r="A32" s="14" t="s">
        <v>54</v>
      </c>
      <c r="B32" s="14" t="s">
        <v>92</v>
      </c>
      <c r="C32" s="24">
        <v>12</v>
      </c>
      <c r="D32" s="25">
        <v>1173</v>
      </c>
      <c r="E32" s="25">
        <v>1173</v>
      </c>
      <c r="F32" s="25">
        <v>114</v>
      </c>
      <c r="G32" s="25">
        <v>114</v>
      </c>
      <c r="H32" s="26">
        <v>1534.31</v>
      </c>
      <c r="I32" s="26">
        <v>1514.1</v>
      </c>
      <c r="J32" s="40">
        <v>-20.210000000000036</v>
      </c>
      <c r="K32" s="27">
        <v>22.16</v>
      </c>
      <c r="L32" s="32">
        <v>-42.370000000000033</v>
      </c>
      <c r="M32" s="24" t="s">
        <v>289</v>
      </c>
    </row>
    <row r="33" spans="1:13" ht="18" customHeight="1" x14ac:dyDescent="0.25">
      <c r="A33" s="14" t="s">
        <v>55</v>
      </c>
      <c r="B33" s="14" t="s">
        <v>93</v>
      </c>
      <c r="C33" s="24">
        <v>12</v>
      </c>
      <c r="D33" s="25">
        <v>1173</v>
      </c>
      <c r="E33" s="25">
        <v>1173</v>
      </c>
      <c r="F33" s="25">
        <v>114</v>
      </c>
      <c r="G33" s="25">
        <v>114</v>
      </c>
      <c r="H33" s="26">
        <v>2234.13</v>
      </c>
      <c r="I33" s="26">
        <v>2244.75</v>
      </c>
      <c r="J33" s="32">
        <v>10.619999999999891</v>
      </c>
      <c r="K33" s="27">
        <v>31.8</v>
      </c>
      <c r="L33" s="32">
        <v>-21.18000000000011</v>
      </c>
      <c r="M33" s="24"/>
    </row>
    <row r="34" spans="1:13" ht="18" customHeight="1" x14ac:dyDescent="0.25">
      <c r="A34" s="14" t="s">
        <v>56</v>
      </c>
      <c r="B34" s="14" t="s">
        <v>94</v>
      </c>
      <c r="C34" s="24">
        <v>12</v>
      </c>
      <c r="D34" s="25">
        <v>1173</v>
      </c>
      <c r="E34" s="25">
        <v>1173</v>
      </c>
      <c r="F34" s="25">
        <v>114</v>
      </c>
      <c r="G34" s="25">
        <v>114</v>
      </c>
      <c r="H34" s="26">
        <v>5093.1099999999997</v>
      </c>
      <c r="I34" s="26">
        <v>5204.46</v>
      </c>
      <c r="J34" s="32">
        <v>111.35000000000036</v>
      </c>
      <c r="K34" s="27">
        <v>161.07</v>
      </c>
      <c r="L34" s="32">
        <v>-49.719999999999629</v>
      </c>
      <c r="M34" s="24"/>
    </row>
    <row r="35" spans="1:13" ht="18" customHeight="1" x14ac:dyDescent="0.25">
      <c r="A35" s="14" t="s">
        <v>57</v>
      </c>
      <c r="B35" s="14" t="s">
        <v>95</v>
      </c>
      <c r="C35" s="24">
        <v>12</v>
      </c>
      <c r="D35" s="25">
        <v>1173</v>
      </c>
      <c r="E35" s="25">
        <v>1173</v>
      </c>
      <c r="F35" s="25">
        <v>114</v>
      </c>
      <c r="G35" s="25">
        <v>114</v>
      </c>
      <c r="H35" s="26">
        <v>4654.9399999999996</v>
      </c>
      <c r="I35" s="26">
        <v>4682.8999999999996</v>
      </c>
      <c r="J35" s="32">
        <v>27.960000000000036</v>
      </c>
      <c r="K35" s="27">
        <v>43.77</v>
      </c>
      <c r="L35" s="32">
        <v>-15.809999999999967</v>
      </c>
      <c r="M35" s="24"/>
    </row>
    <row r="36" spans="1:13" ht="18" customHeight="1" x14ac:dyDescent="0.25">
      <c r="A36" s="14" t="s">
        <v>58</v>
      </c>
      <c r="B36" s="14" t="s">
        <v>96</v>
      </c>
      <c r="C36" s="24">
        <v>12</v>
      </c>
      <c r="D36" s="25">
        <v>1173</v>
      </c>
      <c r="E36" s="25">
        <v>1173</v>
      </c>
      <c r="F36" s="25">
        <v>114</v>
      </c>
      <c r="G36" s="25">
        <v>114</v>
      </c>
      <c r="H36" s="26">
        <v>4367.21</v>
      </c>
      <c r="I36" s="26">
        <v>4388.6400000000003</v>
      </c>
      <c r="J36" s="32">
        <v>21.430000000000291</v>
      </c>
      <c r="K36" s="27">
        <v>43.49</v>
      </c>
      <c r="L36" s="32">
        <v>-22.059999999999711</v>
      </c>
      <c r="M36" s="24"/>
    </row>
    <row r="37" spans="1:13" ht="18" customHeight="1" x14ac:dyDescent="0.25">
      <c r="A37" s="14" t="s">
        <v>59</v>
      </c>
      <c r="B37" s="14" t="s">
        <v>97</v>
      </c>
      <c r="C37" s="24">
        <v>12</v>
      </c>
      <c r="D37" s="25">
        <v>1173</v>
      </c>
      <c r="E37" s="25">
        <v>1173</v>
      </c>
      <c r="F37" s="25">
        <v>114</v>
      </c>
      <c r="G37" s="25">
        <v>114</v>
      </c>
      <c r="H37" s="26">
        <v>5082.1400000000003</v>
      </c>
      <c r="I37" s="26">
        <v>5118.2</v>
      </c>
      <c r="J37" s="32">
        <v>36.059999999999491</v>
      </c>
      <c r="K37" s="27">
        <v>43.77</v>
      </c>
      <c r="L37" s="32">
        <v>-7.7100000000005124</v>
      </c>
      <c r="M37" s="24"/>
    </row>
    <row r="38" spans="1:13" ht="18" customHeight="1" x14ac:dyDescent="0.25">
      <c r="A38" s="14" t="s">
        <v>47</v>
      </c>
      <c r="B38" s="14" t="s">
        <v>98</v>
      </c>
      <c r="C38" s="24">
        <v>12</v>
      </c>
      <c r="D38" s="25">
        <v>1173</v>
      </c>
      <c r="E38" s="25">
        <v>1173</v>
      </c>
      <c r="F38" s="25">
        <v>114</v>
      </c>
      <c r="G38" s="25">
        <v>114</v>
      </c>
      <c r="H38" s="26">
        <v>4482.74</v>
      </c>
      <c r="I38" s="26">
        <v>4400.76</v>
      </c>
      <c r="J38" s="40">
        <v>-81.979999999999563</v>
      </c>
      <c r="K38" s="27">
        <v>70.88</v>
      </c>
      <c r="L38" s="32">
        <v>-152.85999999999956</v>
      </c>
      <c r="M38" s="24" t="s">
        <v>290</v>
      </c>
    </row>
    <row r="39" spans="1:13" ht="18" customHeight="1" x14ac:dyDescent="0.25">
      <c r="A39" s="14" t="s">
        <v>60</v>
      </c>
      <c r="B39" s="14" t="s">
        <v>98</v>
      </c>
      <c r="C39" s="24">
        <v>12</v>
      </c>
      <c r="D39" s="25">
        <v>1173</v>
      </c>
      <c r="E39" s="25">
        <v>1173</v>
      </c>
      <c r="F39" s="25">
        <v>114</v>
      </c>
      <c r="G39" s="25">
        <v>114</v>
      </c>
      <c r="H39" s="26">
        <v>4082.88</v>
      </c>
      <c r="I39" s="26">
        <v>4126.6499999999996</v>
      </c>
      <c r="J39" s="32">
        <v>43.769999999999527</v>
      </c>
      <c r="K39" s="27">
        <v>53.73</v>
      </c>
      <c r="L39" s="32">
        <v>-9.9600000000004698</v>
      </c>
      <c r="M39" s="24"/>
    </row>
    <row r="40" spans="1:13" ht="18" customHeight="1" x14ac:dyDescent="0.25">
      <c r="A40" s="14" t="s">
        <v>61</v>
      </c>
      <c r="B40" s="14" t="s">
        <v>291</v>
      </c>
      <c r="C40" s="24">
        <v>12</v>
      </c>
      <c r="D40" s="25">
        <v>1173</v>
      </c>
      <c r="E40" s="25">
        <v>1173</v>
      </c>
      <c r="F40" s="25">
        <v>114</v>
      </c>
      <c r="G40" s="25">
        <v>114</v>
      </c>
      <c r="H40" s="26">
        <v>2091.85</v>
      </c>
      <c r="I40" s="26">
        <v>2085.1799999999998</v>
      </c>
      <c r="J40" s="40">
        <v>-6.6700000000000728</v>
      </c>
      <c r="K40" s="27">
        <v>36.04</v>
      </c>
      <c r="L40" s="32">
        <v>-42.710000000000072</v>
      </c>
      <c r="M40" s="24"/>
    </row>
    <row r="41" spans="1:13" ht="18" customHeight="1" x14ac:dyDescent="0.25">
      <c r="A41" s="14" t="s">
        <v>62</v>
      </c>
      <c r="B41" s="14" t="s">
        <v>100</v>
      </c>
      <c r="C41" s="24">
        <v>12</v>
      </c>
      <c r="D41" s="25">
        <v>1173</v>
      </c>
      <c r="E41" s="25">
        <v>1173</v>
      </c>
      <c r="F41" s="25">
        <v>114</v>
      </c>
      <c r="G41" s="25">
        <v>114</v>
      </c>
      <c r="H41" s="26">
        <v>2007.47</v>
      </c>
      <c r="I41" s="26">
        <v>1962.81</v>
      </c>
      <c r="J41" s="40">
        <v>-44.660000000000082</v>
      </c>
      <c r="K41" s="27">
        <v>15.04</v>
      </c>
      <c r="L41" s="32">
        <v>-59.700000000000081</v>
      </c>
      <c r="M41" s="24" t="s">
        <v>292</v>
      </c>
    </row>
    <row r="42" spans="1:13" ht="18" customHeight="1" x14ac:dyDescent="0.25">
      <c r="A42" s="14" t="s">
        <v>63</v>
      </c>
      <c r="B42" s="14" t="s">
        <v>101</v>
      </c>
      <c r="C42" s="24">
        <v>12</v>
      </c>
      <c r="D42" s="25">
        <v>1173</v>
      </c>
      <c r="E42" s="25">
        <v>1173</v>
      </c>
      <c r="F42" s="25">
        <v>114</v>
      </c>
      <c r="G42" s="25">
        <v>114</v>
      </c>
      <c r="H42" s="26">
        <v>3897.77</v>
      </c>
      <c r="I42" s="26">
        <v>3920.1</v>
      </c>
      <c r="J42" s="32">
        <v>22.329999999999927</v>
      </c>
      <c r="K42" s="27">
        <v>43.77</v>
      </c>
      <c r="L42" s="32">
        <v>-21.440000000000076</v>
      </c>
      <c r="M42" s="24"/>
    </row>
    <row r="43" spans="1:13" ht="18" customHeight="1" x14ac:dyDescent="0.25">
      <c r="A43" s="14" t="s">
        <v>64</v>
      </c>
      <c r="B43" s="14" t="s">
        <v>102</v>
      </c>
      <c r="C43" s="24">
        <v>12</v>
      </c>
      <c r="D43" s="25">
        <v>1173</v>
      </c>
      <c r="E43" s="25">
        <v>1173</v>
      </c>
      <c r="F43" s="25">
        <v>114</v>
      </c>
      <c r="G43" s="25">
        <v>114</v>
      </c>
      <c r="H43" s="26">
        <v>4584.33</v>
      </c>
      <c r="I43" s="26">
        <v>4612.91</v>
      </c>
      <c r="J43" s="32">
        <v>28.579999999999927</v>
      </c>
      <c r="K43" s="27">
        <v>43.77</v>
      </c>
      <c r="L43" s="32">
        <v>-15.190000000000076</v>
      </c>
      <c r="M43" s="24"/>
    </row>
    <row r="44" spans="1:13" ht="18" customHeight="1" x14ac:dyDescent="0.25">
      <c r="A44" s="14" t="s">
        <v>65</v>
      </c>
      <c r="B44" s="14" t="s">
        <v>103</v>
      </c>
      <c r="C44" s="24">
        <v>12</v>
      </c>
      <c r="D44" s="25">
        <v>1173</v>
      </c>
      <c r="E44" s="25">
        <v>1173</v>
      </c>
      <c r="F44" s="25">
        <v>114</v>
      </c>
      <c r="G44" s="25">
        <v>114</v>
      </c>
      <c r="H44" s="26">
        <v>4620.32</v>
      </c>
      <c r="I44" s="26">
        <v>4664.09</v>
      </c>
      <c r="J44" s="32">
        <v>43.770000000000437</v>
      </c>
      <c r="K44" s="27">
        <v>123.03</v>
      </c>
      <c r="L44" s="32">
        <v>-79.259999999999565</v>
      </c>
      <c r="M44" s="24"/>
    </row>
  </sheetData>
  <autoFilter ref="A4:P44" xr:uid="{C3EFF7C7-F3C5-40F8-A151-4514026BDF06}">
    <sortState xmlns:xlrd2="http://schemas.microsoft.com/office/spreadsheetml/2017/richdata2" ref="A5:P44">
      <sortCondition ref="B4"/>
    </sortState>
  </autoFilter>
  <pageMargins left="0.75" right="0.75" top="1" bottom="1" header="0.5" footer="0.5"/>
  <pageSetup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F4D1-B6F6-45CE-8740-81CFDA8061AC}">
  <dimension ref="A1:Z806"/>
  <sheetViews>
    <sheetView workbookViewId="0">
      <pane ySplit="1" topLeftCell="A2" activePane="bottomLeft" state="frozen"/>
      <selection pane="bottomLeft" activeCell="O12" sqref="O12"/>
    </sheetView>
  </sheetViews>
  <sheetFormatPr defaultColWidth="14.42578125" defaultRowHeight="15" customHeight="1" x14ac:dyDescent="0.25"/>
  <cols>
    <col min="1" max="3" width="10.7109375" style="38" customWidth="1"/>
    <col min="4" max="4" width="10.7109375" style="39" customWidth="1"/>
    <col min="5" max="23" width="10.7109375" style="38" customWidth="1"/>
    <col min="24" max="24" width="7.85546875" style="38" customWidth="1"/>
    <col min="25" max="16384" width="14.42578125" style="38"/>
  </cols>
  <sheetData>
    <row r="1" spans="1:26" s="37" customFormat="1" ht="90.95" customHeight="1" x14ac:dyDescent="0.25">
      <c r="A1" s="33" t="s">
        <v>294</v>
      </c>
      <c r="B1" s="34" t="s">
        <v>295</v>
      </c>
      <c r="C1" s="34" t="s">
        <v>296</v>
      </c>
      <c r="D1" s="35" t="s">
        <v>297</v>
      </c>
      <c r="E1" s="34" t="s">
        <v>298</v>
      </c>
      <c r="F1" s="34" t="s">
        <v>299</v>
      </c>
      <c r="G1" s="34" t="s">
        <v>300</v>
      </c>
      <c r="H1" s="34" t="s">
        <v>261</v>
      </c>
      <c r="I1" s="34" t="s">
        <v>262</v>
      </c>
      <c r="J1" s="34" t="s">
        <v>263</v>
      </c>
      <c r="K1" s="34" t="s">
        <v>264</v>
      </c>
      <c r="L1" s="34" t="s">
        <v>265</v>
      </c>
      <c r="M1" s="34" t="s">
        <v>301</v>
      </c>
      <c r="N1" s="34" t="s">
        <v>302</v>
      </c>
      <c r="O1" s="34" t="s">
        <v>303</v>
      </c>
      <c r="P1" s="34" t="s">
        <v>304</v>
      </c>
      <c r="Q1" s="34" t="s">
        <v>305</v>
      </c>
      <c r="R1" s="34" t="s">
        <v>306</v>
      </c>
      <c r="S1" s="36" t="s">
        <v>307</v>
      </c>
      <c r="T1" s="36" t="s">
        <v>308</v>
      </c>
      <c r="U1" s="36" t="s">
        <v>309</v>
      </c>
      <c r="V1" s="36" t="s">
        <v>310</v>
      </c>
      <c r="W1" s="33" t="s">
        <v>311</v>
      </c>
      <c r="X1" s="33" t="s">
        <v>312</v>
      </c>
      <c r="Y1" s="33" t="s">
        <v>313</v>
      </c>
      <c r="Z1" s="33" t="s">
        <v>314</v>
      </c>
    </row>
    <row r="2" spans="1:26" ht="14.25" customHeight="1" x14ac:dyDescent="0.25">
      <c r="A2" s="38" t="s">
        <v>315</v>
      </c>
      <c r="B2" s="38" t="s">
        <v>66</v>
      </c>
      <c r="C2" s="38" t="s">
        <v>28</v>
      </c>
      <c r="D2" s="39" t="s">
        <v>219</v>
      </c>
      <c r="E2" s="38" t="s">
        <v>143</v>
      </c>
      <c r="F2" s="38">
        <v>79935.72</v>
      </c>
      <c r="G2" s="38">
        <v>12</v>
      </c>
      <c r="H2" s="38" t="s">
        <v>266</v>
      </c>
      <c r="I2" s="38">
        <v>2020</v>
      </c>
      <c r="K2" s="38" t="s">
        <v>267</v>
      </c>
      <c r="Q2" s="38">
        <v>270</v>
      </c>
    </row>
    <row r="3" spans="1:26" ht="14.25" customHeight="1" x14ac:dyDescent="0.25">
      <c r="A3" s="38" t="s">
        <v>315</v>
      </c>
      <c r="B3" s="38" t="s">
        <v>66</v>
      </c>
      <c r="C3" s="38" t="s">
        <v>29</v>
      </c>
      <c r="D3" s="39" t="s">
        <v>220</v>
      </c>
      <c r="E3" s="38" t="s">
        <v>143</v>
      </c>
      <c r="F3" s="38">
        <v>150000</v>
      </c>
      <c r="G3" s="38">
        <v>12</v>
      </c>
      <c r="H3" s="38" t="s">
        <v>266</v>
      </c>
      <c r="I3" s="38">
        <v>2020</v>
      </c>
      <c r="K3" s="38" t="s">
        <v>267</v>
      </c>
      <c r="Q3" s="38">
        <v>1048.8300000000002</v>
      </c>
    </row>
    <row r="4" spans="1:26" ht="14.25" customHeight="1" x14ac:dyDescent="0.25">
      <c r="A4" s="38" t="s">
        <v>315</v>
      </c>
      <c r="B4" s="38" t="s">
        <v>67</v>
      </c>
      <c r="C4" s="38" t="s">
        <v>30</v>
      </c>
      <c r="D4" s="39" t="s">
        <v>221</v>
      </c>
      <c r="E4" s="38" t="s">
        <v>143</v>
      </c>
      <c r="F4" s="38">
        <v>51000</v>
      </c>
      <c r="G4" s="38">
        <v>12</v>
      </c>
      <c r="H4" s="38" t="s">
        <v>268</v>
      </c>
      <c r="I4" s="38">
        <v>2020</v>
      </c>
      <c r="K4" s="38" t="s">
        <v>267</v>
      </c>
      <c r="Q4" s="38">
        <v>745.64</v>
      </c>
    </row>
    <row r="5" spans="1:26" ht="14.25" customHeight="1" x14ac:dyDescent="0.25">
      <c r="A5" s="38" t="s">
        <v>315</v>
      </c>
      <c r="B5" s="38" t="s">
        <v>68</v>
      </c>
      <c r="C5" s="38" t="s">
        <v>31</v>
      </c>
      <c r="D5" s="39" t="s">
        <v>222</v>
      </c>
      <c r="E5" s="38" t="s">
        <v>143</v>
      </c>
      <c r="F5" s="38">
        <v>64999.56</v>
      </c>
      <c r="G5" s="38">
        <v>12</v>
      </c>
      <c r="H5" s="38" t="s">
        <v>266</v>
      </c>
      <c r="I5" s="38">
        <v>2020</v>
      </c>
      <c r="K5" s="38" t="s">
        <v>267</v>
      </c>
      <c r="Q5" s="38">
        <v>212.76</v>
      </c>
    </row>
    <row r="6" spans="1:26" ht="14.25" customHeight="1" x14ac:dyDescent="0.25">
      <c r="A6" s="38" t="s">
        <v>315</v>
      </c>
      <c r="B6" s="38" t="s">
        <v>69</v>
      </c>
      <c r="C6" s="38" t="s">
        <v>32</v>
      </c>
      <c r="D6" s="39" t="s">
        <v>223</v>
      </c>
      <c r="E6" s="38" t="s">
        <v>143</v>
      </c>
      <c r="F6" s="38">
        <v>73216.799999999988</v>
      </c>
      <c r="G6" s="38">
        <v>12</v>
      </c>
      <c r="H6" s="38" t="s">
        <v>268</v>
      </c>
      <c r="I6" s="38">
        <v>2019</v>
      </c>
      <c r="Q6" s="38">
        <v>87.21</v>
      </c>
    </row>
    <row r="7" spans="1:26" ht="14.25" customHeight="1" x14ac:dyDescent="0.25">
      <c r="A7" s="38" t="s">
        <v>315</v>
      </c>
      <c r="B7" s="38" t="s">
        <v>70</v>
      </c>
      <c r="C7" s="38" t="s">
        <v>33</v>
      </c>
      <c r="D7" s="39" t="s">
        <v>224</v>
      </c>
      <c r="E7" s="38" t="s">
        <v>143</v>
      </c>
      <c r="F7" s="38">
        <v>63096.240000000005</v>
      </c>
      <c r="G7" s="38">
        <v>12</v>
      </c>
      <c r="H7" s="38" t="s">
        <v>268</v>
      </c>
      <c r="I7" s="38">
        <v>2020</v>
      </c>
      <c r="K7" s="38" t="s">
        <v>267</v>
      </c>
      <c r="Q7" s="38">
        <v>187.92000000000002</v>
      </c>
    </row>
    <row r="8" spans="1:26" ht="14.25" customHeight="1" x14ac:dyDescent="0.25">
      <c r="A8" s="38" t="s">
        <v>315</v>
      </c>
      <c r="B8" s="38" t="s">
        <v>71</v>
      </c>
      <c r="C8" s="38" t="s">
        <v>34</v>
      </c>
      <c r="D8" s="39" t="s">
        <v>225</v>
      </c>
      <c r="E8" s="38" t="s">
        <v>143</v>
      </c>
      <c r="F8" s="38">
        <v>60574.319999999992</v>
      </c>
      <c r="G8" s="38">
        <v>12</v>
      </c>
      <c r="H8" s="38" t="s">
        <v>266</v>
      </c>
      <c r="I8" s="38">
        <v>2020</v>
      </c>
      <c r="K8" s="38" t="s">
        <v>267</v>
      </c>
      <c r="Q8" s="38">
        <v>198.76</v>
      </c>
    </row>
    <row r="9" spans="1:26" ht="14.25" customHeight="1" x14ac:dyDescent="0.25">
      <c r="A9" s="38" t="s">
        <v>315</v>
      </c>
      <c r="B9" s="38" t="s">
        <v>72</v>
      </c>
      <c r="C9" s="38" t="s">
        <v>29</v>
      </c>
      <c r="D9" s="39" t="s">
        <v>226</v>
      </c>
      <c r="E9" s="38" t="s">
        <v>143</v>
      </c>
      <c r="F9" s="38">
        <v>56499.12</v>
      </c>
      <c r="G9" s="38">
        <v>12</v>
      </c>
      <c r="H9" s="38" t="s">
        <v>266</v>
      </c>
      <c r="I9" s="38">
        <v>2020</v>
      </c>
      <c r="K9" s="38" t="s">
        <v>267</v>
      </c>
      <c r="Q9" s="38">
        <v>295.76</v>
      </c>
    </row>
    <row r="10" spans="1:26" ht="14.25" customHeight="1" x14ac:dyDescent="0.25">
      <c r="A10" s="38" t="s">
        <v>315</v>
      </c>
      <c r="B10" s="38" t="s">
        <v>73</v>
      </c>
      <c r="C10" s="38" t="s">
        <v>35</v>
      </c>
      <c r="D10" s="39" t="s">
        <v>227</v>
      </c>
      <c r="E10" s="38" t="s">
        <v>143</v>
      </c>
      <c r="F10" s="38">
        <v>60000</v>
      </c>
      <c r="G10" s="38">
        <v>12</v>
      </c>
      <c r="H10" s="38" t="s">
        <v>268</v>
      </c>
      <c r="I10" s="38">
        <v>2019</v>
      </c>
      <c r="J10" s="38">
        <v>5</v>
      </c>
      <c r="Q10" s="38">
        <v>635.24</v>
      </c>
    </row>
    <row r="11" spans="1:26" ht="14.25" customHeight="1" x14ac:dyDescent="0.25">
      <c r="A11" s="38" t="s">
        <v>315</v>
      </c>
      <c r="B11" s="38" t="s">
        <v>74</v>
      </c>
      <c r="C11" s="38" t="s">
        <v>36</v>
      </c>
      <c r="D11" s="39" t="s">
        <v>228</v>
      </c>
      <c r="E11" s="38" t="s">
        <v>143</v>
      </c>
      <c r="F11" s="38">
        <v>29150.760000000002</v>
      </c>
      <c r="G11" s="38">
        <v>12</v>
      </c>
      <c r="H11" s="38" t="s">
        <v>266</v>
      </c>
      <c r="I11" s="38">
        <v>2020</v>
      </c>
      <c r="K11" s="38" t="s">
        <v>267</v>
      </c>
      <c r="Q11" s="38">
        <v>251.32</v>
      </c>
    </row>
    <row r="12" spans="1:26" ht="14.25" customHeight="1" x14ac:dyDescent="0.25">
      <c r="A12" s="38" t="s">
        <v>315</v>
      </c>
      <c r="B12" s="38" t="s">
        <v>75</v>
      </c>
      <c r="C12" s="38" t="s">
        <v>37</v>
      </c>
      <c r="D12" s="39" t="s">
        <v>229</v>
      </c>
      <c r="E12" s="38" t="s">
        <v>143</v>
      </c>
      <c r="F12" s="38">
        <v>62474.759999999995</v>
      </c>
      <c r="G12" s="38">
        <v>12</v>
      </c>
      <c r="H12" s="38" t="s">
        <v>268</v>
      </c>
      <c r="I12" s="38">
        <v>2020</v>
      </c>
      <c r="K12" s="38" t="s">
        <v>267</v>
      </c>
      <c r="Q12" s="38">
        <v>261.68</v>
      </c>
    </row>
    <row r="13" spans="1:26" ht="14.25" customHeight="1" x14ac:dyDescent="0.25">
      <c r="A13" s="38" t="s">
        <v>315</v>
      </c>
      <c r="B13" s="38" t="s">
        <v>76</v>
      </c>
      <c r="C13" s="38" t="s">
        <v>38</v>
      </c>
      <c r="D13" s="39" t="s">
        <v>230</v>
      </c>
      <c r="E13" s="38" t="s">
        <v>143</v>
      </c>
      <c r="F13" s="38">
        <v>80839.56</v>
      </c>
      <c r="G13" s="38">
        <v>12</v>
      </c>
      <c r="H13" s="38" t="s">
        <v>268</v>
      </c>
      <c r="I13" s="38">
        <v>2019</v>
      </c>
      <c r="J13" s="38">
        <v>3</v>
      </c>
      <c r="Q13" s="38">
        <v>279.91000000000003</v>
      </c>
    </row>
    <row r="14" spans="1:26" ht="14.25" customHeight="1" x14ac:dyDescent="0.25">
      <c r="A14" s="38" t="s">
        <v>315</v>
      </c>
      <c r="B14" s="38" t="s">
        <v>77</v>
      </c>
      <c r="C14" s="38" t="s">
        <v>39</v>
      </c>
      <c r="D14" s="39" t="s">
        <v>231</v>
      </c>
      <c r="E14" s="38" t="s">
        <v>143</v>
      </c>
      <c r="F14" s="38">
        <v>42673.440000000002</v>
      </c>
      <c r="G14" s="38">
        <v>12</v>
      </c>
      <c r="H14" s="38" t="s">
        <v>268</v>
      </c>
      <c r="I14" s="38">
        <v>2019</v>
      </c>
      <c r="Q14" s="38">
        <v>227.56000000000003</v>
      </c>
    </row>
    <row r="15" spans="1:26" ht="14.25" customHeight="1" x14ac:dyDescent="0.25">
      <c r="A15" s="38" t="s">
        <v>315</v>
      </c>
      <c r="B15" s="38" t="s">
        <v>78</v>
      </c>
      <c r="C15" s="38" t="s">
        <v>40</v>
      </c>
      <c r="D15" s="39" t="s">
        <v>232</v>
      </c>
      <c r="E15" s="38" t="s">
        <v>143</v>
      </c>
      <c r="F15" s="38">
        <v>67899.360000000001</v>
      </c>
      <c r="G15" s="38">
        <v>12</v>
      </c>
      <c r="H15" s="38" t="s">
        <v>266</v>
      </c>
      <c r="I15" s="38">
        <v>2020</v>
      </c>
      <c r="K15" s="38" t="s">
        <v>267</v>
      </c>
      <c r="Q15" s="38">
        <v>546.36</v>
      </c>
    </row>
    <row r="16" spans="1:26" ht="14.25" customHeight="1" x14ac:dyDescent="0.25">
      <c r="A16" s="38" t="s">
        <v>315</v>
      </c>
      <c r="B16" s="38" t="s">
        <v>79</v>
      </c>
      <c r="C16" s="38" t="s">
        <v>41</v>
      </c>
      <c r="D16" s="39" t="s">
        <v>233</v>
      </c>
      <c r="E16" s="38" t="s">
        <v>143</v>
      </c>
      <c r="F16" s="38">
        <v>69133.799999999988</v>
      </c>
      <c r="G16" s="38">
        <v>12</v>
      </c>
      <c r="H16" s="38" t="s">
        <v>268</v>
      </c>
      <c r="I16" s="38">
        <v>2020</v>
      </c>
      <c r="K16" s="38" t="s">
        <v>267</v>
      </c>
      <c r="Q16" s="38">
        <v>201.20000000000002</v>
      </c>
    </row>
    <row r="17" spans="1:17" ht="14.25" customHeight="1" x14ac:dyDescent="0.25">
      <c r="A17" s="38" t="s">
        <v>315</v>
      </c>
      <c r="B17" s="38" t="s">
        <v>80</v>
      </c>
      <c r="C17" s="38" t="s">
        <v>42</v>
      </c>
      <c r="D17" s="39" t="s">
        <v>234</v>
      </c>
      <c r="E17" s="38" t="s">
        <v>143</v>
      </c>
      <c r="F17" s="38">
        <v>93520.44</v>
      </c>
      <c r="G17" s="38">
        <v>12</v>
      </c>
      <c r="H17" s="38" t="s">
        <v>268</v>
      </c>
      <c r="I17" s="38">
        <v>2019</v>
      </c>
      <c r="Q17" s="38">
        <v>647.91</v>
      </c>
    </row>
    <row r="18" spans="1:17" ht="14.25" customHeight="1" x14ac:dyDescent="0.25">
      <c r="A18" s="38" t="s">
        <v>315</v>
      </c>
      <c r="B18" s="38" t="s">
        <v>81</v>
      </c>
      <c r="C18" s="38" t="s">
        <v>43</v>
      </c>
      <c r="D18" s="39" t="s">
        <v>235</v>
      </c>
      <c r="E18" s="38" t="s">
        <v>143</v>
      </c>
      <c r="F18" s="38">
        <v>63499.56</v>
      </c>
      <c r="G18" s="38">
        <v>12</v>
      </c>
      <c r="H18" s="38" t="s">
        <v>268</v>
      </c>
      <c r="I18" s="38">
        <v>2020</v>
      </c>
      <c r="K18" s="38" t="s">
        <v>267</v>
      </c>
      <c r="L18" s="38">
        <v>2000</v>
      </c>
      <c r="Q18" s="38">
        <v>382.29</v>
      </c>
    </row>
    <row r="19" spans="1:17" ht="14.25" customHeight="1" x14ac:dyDescent="0.25">
      <c r="A19" s="38" t="s">
        <v>315</v>
      </c>
      <c r="B19" s="38" t="s">
        <v>82</v>
      </c>
      <c r="C19" s="38" t="s">
        <v>44</v>
      </c>
      <c r="D19" s="39" t="s">
        <v>236</v>
      </c>
      <c r="E19" s="38" t="s">
        <v>143</v>
      </c>
      <c r="F19" s="38">
        <v>57473.88</v>
      </c>
      <c r="G19" s="38">
        <v>12</v>
      </c>
      <c r="H19" s="38" t="s">
        <v>266</v>
      </c>
      <c r="I19" s="38">
        <v>2019</v>
      </c>
      <c r="Q19" s="38">
        <v>569</v>
      </c>
    </row>
    <row r="20" spans="1:17" ht="14.25" customHeight="1" x14ac:dyDescent="0.25">
      <c r="A20" s="38" t="s">
        <v>315</v>
      </c>
      <c r="B20" s="38" t="s">
        <v>83</v>
      </c>
      <c r="C20" s="38" t="s">
        <v>45</v>
      </c>
      <c r="D20" s="39" t="s">
        <v>237</v>
      </c>
      <c r="E20" s="38" t="s">
        <v>143</v>
      </c>
      <c r="F20" s="38">
        <v>62681.16</v>
      </c>
      <c r="G20" s="38">
        <v>12</v>
      </c>
      <c r="H20" s="38" t="s">
        <v>266</v>
      </c>
      <c r="I20" s="38">
        <v>2020</v>
      </c>
      <c r="K20" s="38" t="s">
        <v>267</v>
      </c>
      <c r="Q20" s="38">
        <v>569</v>
      </c>
    </row>
    <row r="21" spans="1:17" ht="14.25" customHeight="1" x14ac:dyDescent="0.25">
      <c r="A21" s="38" t="s">
        <v>315</v>
      </c>
      <c r="B21" s="38" t="s">
        <v>84</v>
      </c>
      <c r="C21" s="38" t="s">
        <v>46</v>
      </c>
      <c r="D21" s="39" t="s">
        <v>238</v>
      </c>
      <c r="E21" s="38" t="s">
        <v>143</v>
      </c>
      <c r="F21" s="38">
        <v>113848.79999999999</v>
      </c>
      <c r="G21" s="38">
        <v>12</v>
      </c>
      <c r="H21" s="38" t="s">
        <v>268</v>
      </c>
      <c r="I21" s="38">
        <v>2020</v>
      </c>
      <c r="K21" s="38" t="s">
        <v>267</v>
      </c>
      <c r="Q21" s="38">
        <v>374.28999999999996</v>
      </c>
    </row>
    <row r="22" spans="1:17" ht="14.25" customHeight="1" x14ac:dyDescent="0.25">
      <c r="A22" s="38" t="s">
        <v>315</v>
      </c>
      <c r="B22" s="38" t="s">
        <v>85</v>
      </c>
      <c r="C22" s="38" t="s">
        <v>47</v>
      </c>
      <c r="D22" s="39" t="s">
        <v>239</v>
      </c>
      <c r="E22" s="38" t="s">
        <v>143</v>
      </c>
      <c r="F22" s="38">
        <v>30070.080000000002</v>
      </c>
      <c r="G22" s="38">
        <v>12</v>
      </c>
      <c r="H22" s="38" t="s">
        <v>266</v>
      </c>
      <c r="I22" s="38">
        <v>2020</v>
      </c>
      <c r="K22" s="38" t="s">
        <v>267</v>
      </c>
      <c r="Q22" s="38">
        <v>295.76</v>
      </c>
    </row>
    <row r="23" spans="1:17" ht="14.25" customHeight="1" x14ac:dyDescent="0.25">
      <c r="A23" s="38" t="s">
        <v>315</v>
      </c>
      <c r="B23" s="38" t="s">
        <v>86</v>
      </c>
      <c r="C23" s="38" t="s">
        <v>48</v>
      </c>
      <c r="D23" s="39" t="s">
        <v>240</v>
      </c>
      <c r="E23" s="38" t="s">
        <v>143</v>
      </c>
      <c r="F23" s="38">
        <v>74250.12</v>
      </c>
      <c r="G23" s="38">
        <v>12</v>
      </c>
      <c r="H23" s="38" t="s">
        <v>266</v>
      </c>
      <c r="I23" s="38">
        <v>2019</v>
      </c>
      <c r="J23" s="38">
        <v>2</v>
      </c>
      <c r="Q23" s="38">
        <v>677.67000000000007</v>
      </c>
    </row>
    <row r="24" spans="1:17" ht="14.25" customHeight="1" x14ac:dyDescent="0.25">
      <c r="A24" s="38" t="s">
        <v>315</v>
      </c>
      <c r="B24" s="38" t="s">
        <v>87</v>
      </c>
      <c r="C24" s="38" t="s">
        <v>49</v>
      </c>
      <c r="D24" s="39" t="s">
        <v>241</v>
      </c>
      <c r="E24" s="38" t="s">
        <v>143</v>
      </c>
      <c r="F24" s="38">
        <v>71500.44</v>
      </c>
      <c r="G24" s="38">
        <v>12</v>
      </c>
      <c r="H24" s="38" t="s">
        <v>268</v>
      </c>
      <c r="I24" s="38">
        <v>2020</v>
      </c>
      <c r="K24" s="38" t="s">
        <v>267</v>
      </c>
      <c r="Q24" s="38">
        <v>593.5</v>
      </c>
    </row>
    <row r="25" spans="1:17" ht="14.25" customHeight="1" x14ac:dyDescent="0.25">
      <c r="A25" s="38" t="s">
        <v>315</v>
      </c>
      <c r="B25" s="38" t="s">
        <v>88</v>
      </c>
      <c r="C25" s="38" t="s">
        <v>50</v>
      </c>
      <c r="D25" s="39" t="s">
        <v>242</v>
      </c>
      <c r="E25" s="38" t="s">
        <v>143</v>
      </c>
      <c r="F25" s="38">
        <v>41915.040000000001</v>
      </c>
      <c r="G25" s="38">
        <v>12</v>
      </c>
      <c r="H25" s="38" t="s">
        <v>268</v>
      </c>
      <c r="I25" s="38">
        <v>2019</v>
      </c>
      <c r="Q25" s="38">
        <v>208.66</v>
      </c>
    </row>
    <row r="26" spans="1:17" ht="14.25" customHeight="1" x14ac:dyDescent="0.25">
      <c r="A26" s="38" t="s">
        <v>315</v>
      </c>
      <c r="B26" s="38" t="s">
        <v>89</v>
      </c>
      <c r="C26" s="38" t="s">
        <v>51</v>
      </c>
      <c r="D26" s="39" t="s">
        <v>243</v>
      </c>
      <c r="E26" s="38" t="s">
        <v>143</v>
      </c>
      <c r="F26" s="38">
        <v>62155.08</v>
      </c>
      <c r="G26" s="38">
        <v>12</v>
      </c>
      <c r="H26" s="38" t="s">
        <v>268</v>
      </c>
      <c r="I26" s="38">
        <v>2020</v>
      </c>
      <c r="K26" s="38" t="s">
        <v>267</v>
      </c>
      <c r="Q26" s="38">
        <v>63.03</v>
      </c>
    </row>
    <row r="27" spans="1:17" ht="14.25" customHeight="1" x14ac:dyDescent="0.25">
      <c r="A27" s="38" t="s">
        <v>315</v>
      </c>
      <c r="B27" s="38" t="s">
        <v>90</v>
      </c>
      <c r="C27" s="38" t="s">
        <v>52</v>
      </c>
      <c r="D27" s="39" t="s">
        <v>244</v>
      </c>
      <c r="E27" s="38" t="s">
        <v>143</v>
      </c>
      <c r="F27" s="38">
        <v>66499.56</v>
      </c>
      <c r="G27" s="38">
        <v>12</v>
      </c>
      <c r="H27" s="38" t="s">
        <v>266</v>
      </c>
      <c r="I27" s="38">
        <v>2020</v>
      </c>
      <c r="K27" s="38" t="s">
        <v>267</v>
      </c>
      <c r="Q27" s="38">
        <v>727.88000000000011</v>
      </c>
    </row>
    <row r="28" spans="1:17" ht="14.25" customHeight="1" x14ac:dyDescent="0.25">
      <c r="A28" s="38" t="s">
        <v>315</v>
      </c>
      <c r="B28" s="38" t="s">
        <v>91</v>
      </c>
      <c r="C28" s="38" t="s">
        <v>53</v>
      </c>
      <c r="D28" s="39" t="s">
        <v>245</v>
      </c>
      <c r="E28" s="38" t="s">
        <v>143</v>
      </c>
      <c r="F28" s="38">
        <v>65719.56</v>
      </c>
      <c r="G28" s="38">
        <v>12</v>
      </c>
      <c r="H28" s="38" t="s">
        <v>266</v>
      </c>
      <c r="I28" s="38">
        <v>2020</v>
      </c>
      <c r="K28" s="38" t="s">
        <v>267</v>
      </c>
      <c r="Q28" s="38">
        <v>179.8</v>
      </c>
    </row>
    <row r="29" spans="1:17" ht="14.25" customHeight="1" x14ac:dyDescent="0.25">
      <c r="A29" s="38" t="s">
        <v>315</v>
      </c>
      <c r="B29" s="38" t="s">
        <v>92</v>
      </c>
      <c r="C29" s="38" t="s">
        <v>54</v>
      </c>
      <c r="D29" s="39" t="s">
        <v>246</v>
      </c>
      <c r="E29" s="38" t="s">
        <v>143</v>
      </c>
      <c r="F29" s="38">
        <v>27695.64</v>
      </c>
      <c r="G29" s="38">
        <v>12</v>
      </c>
      <c r="H29" s="38" t="s">
        <v>266</v>
      </c>
      <c r="I29" s="38">
        <v>2020</v>
      </c>
      <c r="K29" s="38" t="s">
        <v>267</v>
      </c>
      <c r="Q29" s="38">
        <v>8.1199999999999992</v>
      </c>
    </row>
    <row r="30" spans="1:17" ht="14.25" customHeight="1" x14ac:dyDescent="0.25">
      <c r="A30" s="38" t="s">
        <v>315</v>
      </c>
      <c r="B30" s="38" t="s">
        <v>93</v>
      </c>
      <c r="C30" s="38" t="s">
        <v>55</v>
      </c>
      <c r="D30" s="39" t="s">
        <v>247</v>
      </c>
      <c r="E30" s="38" t="s">
        <v>143</v>
      </c>
      <c r="F30" s="38">
        <v>34128</v>
      </c>
      <c r="G30" s="38">
        <v>12</v>
      </c>
      <c r="H30" s="38" t="s">
        <v>266</v>
      </c>
      <c r="I30" s="38">
        <v>2020</v>
      </c>
      <c r="K30" s="38" t="s">
        <v>267</v>
      </c>
      <c r="Q30" s="38">
        <v>198.76</v>
      </c>
    </row>
    <row r="31" spans="1:17" ht="14.25" customHeight="1" x14ac:dyDescent="0.25">
      <c r="A31" s="38" t="s">
        <v>315</v>
      </c>
      <c r="B31" s="38" t="s">
        <v>94</v>
      </c>
      <c r="C31" s="38" t="s">
        <v>56</v>
      </c>
      <c r="D31" s="39" t="s">
        <v>248</v>
      </c>
      <c r="E31" s="38" t="s">
        <v>143</v>
      </c>
      <c r="F31" s="38">
        <v>81317.759999999995</v>
      </c>
      <c r="G31" s="38">
        <v>12</v>
      </c>
      <c r="H31" s="38" t="s">
        <v>266</v>
      </c>
      <c r="I31" s="38">
        <v>2020</v>
      </c>
      <c r="K31" s="38" t="s">
        <v>267</v>
      </c>
    </row>
    <row r="32" spans="1:17" ht="14.25" customHeight="1" x14ac:dyDescent="0.25">
      <c r="A32" s="38" t="s">
        <v>315</v>
      </c>
      <c r="B32" s="38" t="s">
        <v>95</v>
      </c>
      <c r="C32" s="38" t="s">
        <v>57</v>
      </c>
      <c r="D32" s="39" t="s">
        <v>249</v>
      </c>
      <c r="E32" s="38" t="s">
        <v>143</v>
      </c>
      <c r="F32" s="38">
        <v>70937.52</v>
      </c>
      <c r="G32" s="38">
        <v>12</v>
      </c>
      <c r="H32" s="38" t="s">
        <v>268</v>
      </c>
      <c r="I32" s="38">
        <v>2020</v>
      </c>
      <c r="K32" s="38" t="s">
        <v>267</v>
      </c>
      <c r="Q32" s="38">
        <v>291.34999999999997</v>
      </c>
    </row>
    <row r="33" spans="1:17" ht="14.25" customHeight="1" x14ac:dyDescent="0.25">
      <c r="A33" s="38" t="s">
        <v>315</v>
      </c>
      <c r="B33" s="38" t="s">
        <v>96</v>
      </c>
      <c r="C33" s="38" t="s">
        <v>58</v>
      </c>
      <c r="D33" s="39" t="s">
        <v>250</v>
      </c>
      <c r="E33" s="38" t="s">
        <v>143</v>
      </c>
      <c r="F33" s="38">
        <v>72000</v>
      </c>
      <c r="G33" s="38">
        <v>12</v>
      </c>
      <c r="H33" s="38" t="s">
        <v>268</v>
      </c>
      <c r="I33" s="38">
        <v>2020</v>
      </c>
      <c r="K33" s="38" t="s">
        <v>267</v>
      </c>
      <c r="Q33" s="38">
        <v>699.34</v>
      </c>
    </row>
    <row r="34" spans="1:17" ht="14.25" customHeight="1" x14ac:dyDescent="0.25">
      <c r="A34" s="38" t="s">
        <v>315</v>
      </c>
      <c r="B34" s="38" t="s">
        <v>97</v>
      </c>
      <c r="C34" s="38" t="s">
        <v>59</v>
      </c>
      <c r="D34" s="39" t="s">
        <v>251</v>
      </c>
      <c r="E34" s="38" t="s">
        <v>143</v>
      </c>
      <c r="F34" s="38">
        <v>76519.56</v>
      </c>
      <c r="G34" s="38">
        <v>12</v>
      </c>
      <c r="H34" s="38" t="s">
        <v>268</v>
      </c>
      <c r="I34" s="38">
        <v>2020</v>
      </c>
      <c r="K34" s="38" t="s">
        <v>267</v>
      </c>
      <c r="Q34" s="38">
        <v>187.20000000000002</v>
      </c>
    </row>
    <row r="35" spans="1:17" ht="14.25" customHeight="1" x14ac:dyDescent="0.25">
      <c r="A35" s="38" t="s">
        <v>315</v>
      </c>
      <c r="B35" s="38" t="s">
        <v>98</v>
      </c>
      <c r="C35" s="38" t="s">
        <v>47</v>
      </c>
      <c r="D35" s="39" t="s">
        <v>252</v>
      </c>
      <c r="E35" s="38" t="s">
        <v>143</v>
      </c>
      <c r="F35" s="38">
        <v>74951.759999999995</v>
      </c>
      <c r="G35" s="38">
        <v>12</v>
      </c>
      <c r="H35" s="38" t="s">
        <v>268</v>
      </c>
      <c r="I35" s="38">
        <v>2020</v>
      </c>
      <c r="K35" s="38" t="s">
        <v>269</v>
      </c>
      <c r="L35" s="38">
        <v>4000</v>
      </c>
      <c r="Q35" s="38">
        <v>1036.1400000000001</v>
      </c>
    </row>
    <row r="36" spans="1:17" ht="14.25" customHeight="1" x14ac:dyDescent="0.25">
      <c r="A36" s="38" t="s">
        <v>315</v>
      </c>
      <c r="B36" s="38" t="s">
        <v>98</v>
      </c>
      <c r="C36" s="38" t="s">
        <v>60</v>
      </c>
      <c r="D36" s="39" t="s">
        <v>253</v>
      </c>
      <c r="E36" s="38" t="s">
        <v>143</v>
      </c>
      <c r="F36" s="38">
        <v>62155.08</v>
      </c>
      <c r="G36" s="38">
        <v>12</v>
      </c>
      <c r="H36" s="38" t="s">
        <v>266</v>
      </c>
      <c r="I36" s="38">
        <v>2020</v>
      </c>
      <c r="K36" s="38" t="s">
        <v>267</v>
      </c>
      <c r="Q36" s="38">
        <v>198.76</v>
      </c>
    </row>
    <row r="37" spans="1:17" ht="14.25" customHeight="1" x14ac:dyDescent="0.25">
      <c r="A37" s="38" t="s">
        <v>315</v>
      </c>
      <c r="B37" s="38" t="s">
        <v>99</v>
      </c>
      <c r="C37" s="38" t="s">
        <v>61</v>
      </c>
      <c r="D37" s="39" t="s">
        <v>254</v>
      </c>
      <c r="E37" s="38" t="s">
        <v>143</v>
      </c>
      <c r="F37" s="38">
        <v>31581</v>
      </c>
      <c r="G37" s="38">
        <v>12</v>
      </c>
      <c r="H37" s="38" t="s">
        <v>266</v>
      </c>
      <c r="I37" s="38">
        <v>2020</v>
      </c>
      <c r="K37" s="38" t="s">
        <v>267</v>
      </c>
      <c r="Q37" s="38">
        <v>179.8</v>
      </c>
    </row>
    <row r="38" spans="1:17" ht="14.25" customHeight="1" x14ac:dyDescent="0.25">
      <c r="A38" s="38" t="s">
        <v>315</v>
      </c>
      <c r="B38" s="38" t="s">
        <v>100</v>
      </c>
      <c r="C38" s="38" t="s">
        <v>62</v>
      </c>
      <c r="D38" s="39" t="s">
        <v>255</v>
      </c>
      <c r="E38" s="38" t="s">
        <v>143</v>
      </c>
      <c r="F38" s="38">
        <v>32298.48</v>
      </c>
      <c r="G38" s="38">
        <v>12</v>
      </c>
      <c r="H38" s="38" t="s">
        <v>268</v>
      </c>
      <c r="I38" s="38">
        <v>2019</v>
      </c>
      <c r="Q38" s="38">
        <v>337.88</v>
      </c>
    </row>
    <row r="39" spans="1:17" ht="14.25" customHeight="1" x14ac:dyDescent="0.25">
      <c r="A39" s="38" t="s">
        <v>315</v>
      </c>
      <c r="B39" s="38" t="s">
        <v>101</v>
      </c>
      <c r="C39" s="38" t="s">
        <v>63</v>
      </c>
      <c r="D39" s="39" t="s">
        <v>256</v>
      </c>
      <c r="E39" s="38" t="s">
        <v>143</v>
      </c>
      <c r="F39" s="38">
        <v>67422.240000000005</v>
      </c>
      <c r="G39" s="38">
        <v>12</v>
      </c>
      <c r="H39" s="38" t="s">
        <v>268</v>
      </c>
      <c r="I39" s="38">
        <v>2019</v>
      </c>
      <c r="J39" s="38">
        <v>2</v>
      </c>
      <c r="Q39" s="38">
        <v>405.93999999999994</v>
      </c>
    </row>
    <row r="40" spans="1:17" ht="14.25" customHeight="1" x14ac:dyDescent="0.25">
      <c r="A40" s="38" t="s">
        <v>315</v>
      </c>
      <c r="B40" s="38" t="s">
        <v>102</v>
      </c>
      <c r="C40" s="38" t="s">
        <v>64</v>
      </c>
      <c r="D40" s="39" t="s">
        <v>257</v>
      </c>
      <c r="E40" s="38" t="s">
        <v>143</v>
      </c>
      <c r="F40" s="38">
        <v>75000</v>
      </c>
      <c r="G40" s="38">
        <v>12</v>
      </c>
      <c r="H40" s="38" t="s">
        <v>268</v>
      </c>
      <c r="I40" s="38">
        <v>2020</v>
      </c>
      <c r="K40" s="38" t="s">
        <v>267</v>
      </c>
      <c r="Q40" s="38">
        <v>570.76</v>
      </c>
    </row>
    <row r="41" spans="1:17" ht="14.25" customHeight="1" x14ac:dyDescent="0.25">
      <c r="A41" s="38" t="s">
        <v>315</v>
      </c>
      <c r="B41" s="38" t="s">
        <v>103</v>
      </c>
      <c r="C41" s="38" t="s">
        <v>65</v>
      </c>
      <c r="D41" s="39" t="s">
        <v>258</v>
      </c>
      <c r="E41" s="38" t="s">
        <v>143</v>
      </c>
      <c r="F41" s="38">
        <v>70055.88</v>
      </c>
      <c r="G41" s="38">
        <v>12</v>
      </c>
      <c r="H41" s="38" t="s">
        <v>266</v>
      </c>
      <c r="I41" s="38">
        <v>2020</v>
      </c>
      <c r="K41" s="38" t="s">
        <v>267</v>
      </c>
      <c r="Q41" s="38">
        <v>164.12</v>
      </c>
    </row>
    <row r="42" spans="1:17" ht="14.25" customHeight="1" x14ac:dyDescent="0.25"/>
    <row r="43" spans="1:17" ht="14.25" customHeight="1" x14ac:dyDescent="0.25"/>
    <row r="44" spans="1:17" ht="14.25" customHeight="1" x14ac:dyDescent="0.25"/>
    <row r="45" spans="1:17" ht="14.25" customHeight="1" x14ac:dyDescent="0.25"/>
    <row r="46" spans="1:17" ht="14.25" customHeight="1" x14ac:dyDescent="0.25"/>
    <row r="47" spans="1:17" ht="14.25" customHeight="1" x14ac:dyDescent="0.25"/>
    <row r="48" spans="1:1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</sheetData>
  <autoFilter ref="A1:Z1" xr:uid="{00000000-0001-0000-0000-000000000000}">
    <sortState xmlns:xlrd2="http://schemas.microsoft.com/office/spreadsheetml/2017/richdata2" ref="A2:Z6">
      <sortCondition ref="B1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Savings Report - Ascender</vt:lpstr>
      <vt:lpstr>Paycheck Comparison</vt:lpstr>
      <vt:lpstr>Census</vt:lpstr>
      <vt:lpstr>'Paycheck Comparison'!Print_Area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Amos</dc:creator>
  <cp:lastModifiedBy>Amanda Amos</cp:lastModifiedBy>
  <dcterms:created xsi:type="dcterms:W3CDTF">2026-09-02T13:52:41Z</dcterms:created>
  <dcterms:modified xsi:type="dcterms:W3CDTF">2026-09-02T18:23:53Z</dcterms:modified>
</cp:coreProperties>
</file>